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f7b9eae53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730a18ea8042c4"/>
    <x:sheet xmlns:r="http://schemas.openxmlformats.org/officeDocument/2006/relationships" name="Core PFME" sheetId="2" r:id="R7eee1918b1844763"/>
    <x:sheet xmlns:r="http://schemas.openxmlformats.org/officeDocument/2006/relationships" name="Cross Domain" sheetId="3" r:id="Rbf2e63a09d824717"/>
    <x:sheet xmlns:r="http://schemas.openxmlformats.org/officeDocument/2006/relationships" name="Required Sizes" sheetId="4" r:id="R7c969c59da1746b9"/>
    <x:sheet xmlns:r="http://schemas.openxmlformats.org/officeDocument/2006/relationships" name="Rule Sensitivity" sheetId="5" r:id="R99f3033c22004481"/>
    <x:sheet xmlns:r="http://schemas.openxmlformats.org/officeDocument/2006/relationships" name="Strategies" sheetId="6" r:id="Rbf26b094984a4d5e"/>
    <x:sheet xmlns:r="http://schemas.openxmlformats.org/officeDocument/2006/relationships" name="Bootstrap CIs" sheetId="7" r:id="Rc61c5f3b02514424"/>
    <x:sheet xmlns:r="http://schemas.openxmlformats.org/officeDocument/2006/relationships" name="Validation" sheetId="8" r:id="R3c73fa0e6ef1492f"/>
    <x:sheet xmlns:r="http://schemas.openxmlformats.org/officeDocument/2006/relationships" name="Source Audit" sheetId="9" r:id="R50ac179d14104224"/>
    <x:sheet xmlns:r="http://schemas.openxmlformats.org/officeDocument/2006/relationships" name="Run Settings" sheetId="10" r:id="Rade91dfc9e60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&quot;%&quot;"/>
    <x:numFmt numFmtId="201" formatCode="0.00%"/>
    <x:numFmt numFmtId="202" formatCode="0.0%"/>
    <x:numFmt numFmtId="203" formatCode="#,##0"/>
    <x:numFmt numFmtId="204" formatCode="0.000"/>
  </x:numFmts>
  <x:fonts count="11">
    <x:font>
      <x:sz val="11"/>
      <x:name val="Carlito"/>
    </x:font>
    <x:font>
      <x:b/>
      <x:sz val="16"/>
      <x:color rgb="FF17365D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7F1D1D"/>
      <x:name val="Arial"/>
    </x:font>
    <x:font>
      <x:sz val="9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FDECEC"/>
      </x:patternFill>
    </x:fill>
  </x:fills>
  <x:borders count="11">
    <x:border/>
    <x:border>
      <x:bottom style="medium">
        <x:color rgb="FF17365D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4" fillId="0" borderId="3" xfId="0" applyNumberFormat="1" applyFont="1" applyFill="1" applyBorder="1"/>
    <x:xf numFmtId="0" fontId="0" fillId="0" borderId="3" xfId="0" applyNumberFormat="1" applyFont="1" applyFill="1" applyBorder="1"/>
    <x:xf numFmtId="0" fontId="4" fillId="0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4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201" fontId="0" fillId="0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8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/>
    <x:xf numFmtId="200" fontId="10" fillId="0" borderId="2" xfId="0" applyNumberFormat="1" applyFont="1" applyFill="1" applyBorder="1"/>
    <x:xf numFmtId="200" fontId="10" fillId="0" borderId="3" xfId="0" applyNumberFormat="1" applyFont="1" applyFill="1" applyBorder="1"/>
    <x:xf numFmtId="201" fontId="10" fillId="0" borderId="3" xfId="0" applyNumberFormat="1" applyFont="1" applyFill="1" applyBorder="1"/>
    <x:xf numFmtId="202" fontId="10" fillId="0" borderId="3" xfId="0" applyNumberFormat="1" applyFont="1" applyFill="1" applyBorder="1"/>
    <x:xf numFmtId="203" fontId="10" fillId="0" borderId="4" xfId="0" applyNumberFormat="1" applyFont="1" applyFill="1" applyBorder="1"/>
    <x:xf numFmtId="201" fontId="1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8c47771254713" /><Relationship Type="http://schemas.openxmlformats.org/officeDocument/2006/relationships/theme" Target="/xl/theme/theme1.xml" Id="R509bc6df49114659" /><Relationship Type="http://schemas.openxmlformats.org/officeDocument/2006/relationships/sharedStrings" Target="/xl/sharedStrings.xml" Id="R10d20493396f4b93" /><Relationship Type="http://schemas.openxmlformats.org/officeDocument/2006/relationships/worksheet" Target="/xl/worksheets/sheet1.xml" Id="Rc7730a18ea8042c4" /><Relationship Type="http://schemas.openxmlformats.org/officeDocument/2006/relationships/worksheet" Target="/xl/worksheets/sheet2.xml" Id="R7eee1918b1844763" /><Relationship Type="http://schemas.openxmlformats.org/officeDocument/2006/relationships/worksheet" Target="/xl/worksheets/sheet3.xml" Id="Rbf2e63a09d824717" /><Relationship Type="http://schemas.openxmlformats.org/officeDocument/2006/relationships/worksheet" Target="/xl/worksheets/sheet4.xml" Id="R7c969c59da1746b9" /><Relationship Type="http://schemas.openxmlformats.org/officeDocument/2006/relationships/worksheet" Target="/xl/worksheets/sheet5.xml" Id="R99f3033c22004481" /><Relationship Type="http://schemas.openxmlformats.org/officeDocument/2006/relationships/worksheet" Target="/xl/worksheets/sheet6.xml" Id="Rbf26b094984a4d5e" /><Relationship Type="http://schemas.openxmlformats.org/officeDocument/2006/relationships/worksheet" Target="/xl/worksheets/sheet7.xml" Id="Rc61c5f3b02514424" /><Relationship Type="http://schemas.openxmlformats.org/officeDocument/2006/relationships/worksheet" Target="/xl/worksheets/sheet8.xml" Id="R3c73fa0e6ef1492f" /><Relationship Type="http://schemas.openxmlformats.org/officeDocument/2006/relationships/worksheet" Target="/xl/worksheets/sheet9.xml" Id="R50ac179d14104224" /><Relationship Type="http://schemas.openxmlformats.org/officeDocument/2006/relationships/worksheet" Target="/xl/worksheets/sheet10.xml" Id="Rade91dfc9e6045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9088fe83ae443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fe0f0025b2b476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26c108881174d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Blackjack reversal probability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Paired empirical</c:v>
          </c:tx>
          <c:marker>
            <c:symbol val="none"/>
          </c:marker>
          <c:cat>
            <c:strRef>
              <c:f>'Summary'!$J$21:$J$31</c:f>
              <c:strCache>
                <c:ptCount val="0"/>
              </c:strCache>
            </c:strRef>
          </c:cat>
          <c:val>
            <c:numRef>
              <c:f>'Summary'!$K$21:$K$31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Unpaired empirical</c:v>
          </c:tx>
          <c:marker>
            <c:symbol val="none"/>
          </c:marker>
          <c:cat>
            <c:strRef>
              <c:f>'Summary'!$J$21:$J$31</c:f>
              <c:strCache>
                <c:ptCount val="0"/>
              </c:strCache>
            </c:strRef>
          </c:cat>
          <c:val>
            <c:numRef>
              <c:f>'Summary'!$L$21:$L$31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Rounds per strategy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Reversal probability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Empirical reversal probability by domain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Blackjack</c:v>
          </c:tx>
          <c:marker>
            <c:symbol val="none"/>
          </c:marker>
          <c:cat>
            <c:strRef>
              <c:f>'Cross Domain'!$K$23:$K$33</c:f>
              <c:strCache>
                <c:ptCount val="0"/>
              </c:strCache>
            </c:strRef>
          </c:cat>
          <c:val>
            <c:numRef>
              <c:f>'Cross Domain'!$L$23:$L$33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Inventory</c:v>
          </c:tx>
          <c:marker>
            <c:symbol val="none"/>
          </c:marker>
          <c:cat>
            <c:strRef>
              <c:f>'Cross Domain'!$K$23:$K$33</c:f>
              <c:strCache>
                <c:ptCount val="0"/>
              </c:strCache>
            </c:strRef>
          </c:cat>
          <c:val>
            <c:numRef>
              <c:f>'Cross Domain'!$M$23:$M$33</c:f>
              <c:numCache>
                <c:formatCode>0.00%</c:formatCode>
                <c:ptCount val="0"/>
              </c:numCache>
            </c:numRef>
          </c:val>
          <c:smooth val="0"/>
        </c:ser>
        <c:ser>
          <c:idx val="2"/>
          <c:order val="2"/>
          <c:tx>
            <c:v>Queue</c:v>
          </c:tx>
          <c:marker>
            <c:symbol val="none"/>
          </c:marker>
          <c:cat>
            <c:strRef>
              <c:f>'Cross Domain'!$K$23:$K$33</c:f>
              <c:strCache>
                <c:ptCount val="0"/>
              </c:strCache>
            </c:strRef>
          </c:cat>
          <c:val>
            <c:numRef>
              <c:f>'Cross Domain'!$N$23:$N$33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return by strategy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return (%)</c:v>
          </c:tx>
          <c:cat>
            <c:strRef>
              <c:f>'Strategies'!$A$5:$A$11</c:f>
              <c:strCache>
                <c:ptCount val="0"/>
              </c:strCache>
            </c:strRef>
          </c:cat>
          <c:val>
            <c:numRef>
              <c:f>'Strategies'!$D$5:$D$11</c:f>
              <c:numCache>
                <c:formatCode>0.000"%"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9088fe83ae443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e0f0025b2b476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6c108881174d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rePFMETable" displayName="CorePFMETable" ref="A4:M15" headerRowCount="1" totalsRowCount="0" totalsRowShown="0">
  <x:autoFilter ref="A4:M15"/>
  <x:tableColumns count="13">
    <x:tableColumn id="1" name="Sample size"/>
    <x:tableColumn id="2" name="Estimation mode"/>
    <x:tableColumn id="3" name="Basic mean (%)"/>
    <x:tableColumn id="4" name="Simplified mean (%)"/>
    <x:tableColumn id="5" name="Paired advantage (pp)"/>
    <x:tableColumn id="6" name="Empirical reversal"/>
    <x:tableColumn id="7" name="Normal prediction"/>
    <x:tableColumn id="8" name="Unpaired reversal"/>
    <x:tableColumn id="9" name="Variance reduction"/>
    <x:tableColumn id="10" name="95% CI lower (pp)"/>
    <x:tableColumn id="11" name="95% CI upper (pp)"/>
    <x:tableColumn id="12" name="Berry-Esseen error bound"/>
    <x:tableColumn id="13" name="Hoeffding upper bou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ssDomainTable" displayName="CrossDomainTable" ref="A4:I37" headerRowCount="1" totalsRowCount="0" totalsRowShown="0">
  <x:autoFilter ref="A4:I37"/>
  <x:tableColumns count="9">
    <x:tableColumn id="1" name="Domain"/>
    <x:tableColumn id="2" name="Rule A"/>
    <x:tableColumn id="3" name="Rule B"/>
    <x:tableColumn id="4" name="Sample size"/>
    <x:tableColumn id="5" name="Mean difference"/>
    <x:tableColumn id="6" name="Empirical reversal"/>
    <x:tableColumn id="7" name="Normal prediction"/>
    <x:tableColumn id="8" name="Variance reduction"/>
    <x:tableColumn id="9" name="Return 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redSizesTable" displayName="RequiredSizesTable" ref="A4:E14" headerRowCount="1" totalsRowCount="0" totalsRowShown="0">
  <x:autoFilter ref="A4:E14"/>
  <x:tableColumns count="5">
    <x:tableColumn id="1" name="Target reversal risk"/>
    <x:tableColumn id="2" name="Design"/>
    <x:tableColumn id="3" name="Mean difference (pp)"/>
    <x:tableColumn id="4" name="Effective SD (pp)"/>
    <x:tableColumn id="5" name="Required sample siz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ossDomainRequiredTable" displayName="CrossDomainRequiredTable" ref="A18:F36" headerRowCount="1" totalsRowCount="0" totalsRowShown="0">
  <x:autoFilter ref="A18:F36"/>
  <x:tableColumns count="6">
    <x:tableColumn id="1" name="Domain"/>
    <x:tableColumn id="2" name="Target reversal risk"/>
    <x:tableColumn id="3" name="Design"/>
    <x:tableColumn id="4" name="Mean difference"/>
    <x:tableColumn id="5" name="Effective SD"/>
    <x:tableColumn id="6" name="Required sample siz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ensitivityTable" displayName="RuleSensitivityTable" ref="A4:I18" headerRowCount="1" totalsRowCount="0" totalsRowShown="0">
  <x:autoFilter ref="A4:I18"/>
  <x:tableColumns count="9">
    <x:tableColumn id="1" name="Rule dimension"/>
    <x:tableColumn id="2" name="Level"/>
    <x:tableColumn id="3" name="Rounds"/>
    <x:tableColumn id="4" name="Replications"/>
    <x:tableColumn id="5" name="Basic mean (%)"/>
    <x:tableColumn id="6" name="Simplified mean (%)"/>
    <x:tableColumn id="7" name="Paired advantage (pp)"/>
    <x:tableColumn id="8" name="SD difference (pp)"/>
    <x:tableColumn id="9" name="Reversal probabil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ategiesTable" displayName="StrategiesTable" ref="A4:H11" headerRowCount="1" totalsRowCount="0" totalsRowShown="0">
  <x:autoFilter ref="A4:H11"/>
  <x:tableColumns count="8">
    <x:tableColumn id="1" name="Strategy"/>
    <x:tableColumn id="2" name="Rounds"/>
    <x:tableColumn id="3" name="Replications"/>
    <x:tableColumn id="4" name="Mean return (%)"/>
    <x:tableColumn id="5" name="SD (%)"/>
    <x:tableColumn id="6" name="MCSE (pp)"/>
    <x:tableColumn id="7" name="95% CI lower (%)"/>
    <x:tableColumn id="8" name="95% CI upper (%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otstrapTable" displayName="BootstrapTable" ref="A4:I15" headerRowCount="1" totalsRowCount="0" totalsRowShown="0">
  <x:autoFilter ref="A4:I15"/>
  <x:tableColumns count="9">
    <x:tableColumn id="1" name="Sample size"/>
    <x:tableColumn id="2" name="Replications"/>
    <x:tableColumn id="3" name="Bootstrap resamples"/>
    <x:tableColumn id="4" name="Mean difference (pp)"/>
    <x:tableColumn id="5" name="Normal lower"/>
    <x:tableColumn id="6" name="Normal upper"/>
    <x:tableColumn id="7" name="Bootstrap lower"/>
    <x:tableColumn id="8" name="Bootstrap upper"/>
    <x:tableColumn id="9" name="Bootstrap widt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alidationTable" displayName="ValidationTable" ref="A4:C18" headerRowCount="1" totalsRowCount="0" totalsRowShown="0">
  <x:autoFilter ref="A4:C18"/>
  <x:tableColumns count="3">
    <x:tableColumn id="1" name="Test"/>
    <x:tableColumn id="2" name="Status"/>
    <x:tableColumn id="3" name="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AuditTable" displayName="SourceAuditTable" ref="A4:E8" headerRowCount="1" totalsRowCount="0" totalsRowShown="0">
  <x:autoFilter ref="A4:E8"/>
  <x:tableColumns count="5">
    <x:tableColumn id="1" name="Check"/>
    <x:tableColumn id="2" name="Status"/>
    <x:tableColumn id="3" name="Observed"/>
    <x:tableColumn id="4" name="Expected"/>
    <x:tableColumn id="5" name="Interpre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unSettingsTable" displayName="RunSettingsTable" ref="A4:B49" headerRowCount="1" totalsRowCount="0" totalsRowShown="0">
  <x:autoFilter ref="A4:B49"/>
  <x:tableColumns count="2">
    <x:tableColumn id="1" name="Parameter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98035936ee4c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336d32419343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93b64f6c9f14e08" /><Relationship Type="http://schemas.openxmlformats.org/officeDocument/2006/relationships/table" Target="/xl/tables/table2.xml" Id="R3afce172fd134c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c132f1b81643c8" /><Relationship Type="http://schemas.openxmlformats.org/officeDocument/2006/relationships/table" Target="/xl/tables/table4.xml" Id="Rdcb36b42fabc46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46412437ed40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7bb144ae722946c4" /><Relationship Type="http://schemas.openxmlformats.org/officeDocument/2006/relationships/table" Target="/xl/tables/table6.xml" Id="R30f7e40b98e742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0035a9ca9794f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7af8ded0f4648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470027bd2af4e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f97a23ffa0b4d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</x:cols>
  <x:sheetData>
    <x:row r="1" ht="25" customHeight="1">
      <x:c r="A1" s="2" t="str">
        <x:v>Blackjack PFME upgrade results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</x:row>
    <x:row r="2" ht="22" customHeight="1">
      <x:c r="A2" s="4" t="str">
        <x:v>Corrected finite-shoe simulation, paired finite-sample misranking analysis, cross-domain validation, and robustness checks.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</x:row>
    <x:row r="4">
      <x:c r="A4" s="7" t="str">
        <x:v>Key result</x:v>
      </x:c>
      <x:c r="B4" s="7" t="str">
        <x:v>Estimate</x:v>
      </x:c>
      <x:c r="C4" s="78"/>
      <x:c r="D4" s="6" t="str">
        <x:v>Interpretation</x:v>
      </x:c>
      <x:c r="E4" s="6"/>
      <x:c r="F4" s="6"/>
      <x:c r="G4" s="6"/>
      <x:c r="H4" s="6"/>
      <x:c r="I4" s="78"/>
      <x:c r="J4" s="78"/>
      <x:c r="K4" s="78"/>
      <x:c r="L4" s="78"/>
      <x:c r="M4" s="78"/>
      <x:c r="N4" s="78"/>
      <x:c r="O4" s="78"/>
      <x:c r="P4" s="78"/>
      <x:c r="Q4" s="78"/>
    </x:row>
    <x:row r="5">
      <x:c r="A5" s="9" t="str">
        <x:v>Basic return at 50,000 rounds</x:v>
      </x:c>
      <x:c r="B5" s="79" t="n">
        <x:f>'Core PFME'!C15</x:f>
        <x:v>-0.4960819</x:v>
      </x:c>
      <x:c r="C5" s="78"/>
      <x:c r="D5" s="23" t="str">
        <x:v>The corrected model keeps all 312 cards in a six-deck shoe and reshuffles after 75% penetration. Basic strategy remains negative in expectation, but it loses far less than the simplified rule.</x:v>
      </x:c>
      <x:c r="E5" s="23" t="str">
        <x:v>The corrected model keeps all 312 cards in a six-deck shoe and reshuffles after 75% penetration. Basic strategy remains negative in expectation, but it loses far less than the simplified rule.</x:v>
      </x:c>
      <x:c r="F5" s="23" t="str">
        <x:v>The corrected model keeps all 312 cards in a six-deck shoe and reshuffles after 75% penetration. Basic strategy remains negative in expectation, but it loses far less than the simplified rule.</x:v>
      </x:c>
      <x:c r="G5" s="23" t="str">
        <x:v>The corrected model keeps all 312 cards in a six-deck shoe and reshuffles after 75% penetration. Basic strategy remains negative in expectation, but it loses far less than the simplified rule.</x:v>
      </x:c>
      <x:c r="H5" s="23" t="str">
        <x:v>The corrected model keeps all 312 cards in a six-deck shoe and reshuffles after 75% penetration. Basic strategy remains negative in expectation, but it loses far less than the simplified rule.</x:v>
      </x:c>
      <x:c r="I5" s="78"/>
      <x:c r="J5" s="78"/>
      <x:c r="K5" s="78"/>
      <x:c r="L5" s="78"/>
      <x:c r="M5" s="78"/>
      <x:c r="N5" s="78"/>
      <x:c r="O5" s="78"/>
      <x:c r="P5" s="78"/>
      <x:c r="Q5" s="78"/>
    </x:row>
    <x:row r="6">
      <x:c r="A6" s="11" t="str">
        <x:v>Simplified return at 50,000 rounds</x:v>
      </x:c>
      <x:c r="B6" s="80" t="n">
        <x:f>'Core PFME'!D15</x:f>
        <x:v>-6.0777234</x:v>
      </x:c>
      <x:c r="C6" s="78"/>
      <x:c r="D6" s="23" t="str">
        <x:v>The corrected model keeps all 312 cards in a six-deck shoe and reshuffles after 75% penetration. Basic strategy remains negative in expectation, but it loses far less than the simplified rule.</x:v>
      </x:c>
      <x:c r="E6" s="23" t="str">
        <x:v>The corrected model keeps all 312 cards in a six-deck shoe and reshuffles after 75% penetration. Basic strategy remains negative in expectation, but it loses far less than the simplified rule.</x:v>
      </x:c>
      <x:c r="F6" s="23" t="str">
        <x:v>The corrected model keeps all 312 cards in a six-deck shoe and reshuffles after 75% penetration. Basic strategy remains negative in expectation, but it loses far less than the simplified rule.</x:v>
      </x:c>
      <x:c r="G6" s="23" t="str">
        <x:v>The corrected model keeps all 312 cards in a six-deck shoe and reshuffles after 75% penetration. Basic strategy remains negative in expectation, but it loses far less than the simplified rule.</x:v>
      </x:c>
      <x:c r="H6" s="23" t="str">
        <x:v>The corrected model keeps all 312 cards in a six-deck shoe and reshuffles after 75% penetration. Basic strategy remains negative in expectation, but it loses far less than the simplified rule.</x:v>
      </x:c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11" t="str">
        <x:v>Basic paired advantage at 50,000</x:v>
      </x:c>
      <x:c r="B7" s="80" t="n">
        <x:f>'Core PFME'!E15</x:f>
        <x:v>5.581641499999999</x:v>
      </x:c>
      <x:c r="C7" s="78"/>
      <x:c r="D7" s="23" t="str">
        <x:v>The corrected model keeps all 312 cards in a six-deck shoe and reshuffles after 75% penetration. Basic strategy remains negative in expectation, but it loses far less than the simplified rule.</x:v>
      </x:c>
      <x:c r="E7" s="23" t="str">
        <x:v>The corrected model keeps all 312 cards in a six-deck shoe and reshuffles after 75% penetration. Basic strategy remains negative in expectation, but it loses far less than the simplified rule.</x:v>
      </x:c>
      <x:c r="F7" s="23" t="str">
        <x:v>The corrected model keeps all 312 cards in a six-deck shoe and reshuffles after 75% penetration. Basic strategy remains negative in expectation, but it loses far less than the simplified rule.</x:v>
      </x:c>
      <x:c r="G7" s="23" t="str">
        <x:v>The corrected model keeps all 312 cards in a six-deck shoe and reshuffles after 75% penetration. Basic strategy remains negative in expectation, but it loses far less than the simplified rule.</x:v>
      </x:c>
      <x:c r="H7" s="23" t="str">
        <x:v>The corrected model keeps all 312 cards in a six-deck shoe and reshuffles after 75% penetration. Basic strategy remains negative in expectation, but it loses far less than the simplified rule.</x:v>
      </x:c>
      <x:c r="I7" s="78"/>
      <x:c r="J7" s="78"/>
      <x:c r="K7" s="78"/>
      <x:c r="L7" s="78"/>
      <x:c r="M7" s="78"/>
      <x:c r="N7" s="78"/>
      <x:c r="O7" s="78"/>
      <x:c r="P7" s="78"/>
      <x:c r="Q7" s="78"/>
    </x:row>
    <x:row r="8">
      <x:c r="A8" s="11" t="str">
        <x:v>Reversal probability at 100 rounds</x:v>
      </x:c>
      <x:c r="B8" s="81" t="n">
        <x:f>'Core PFME'!F7</x:f>
        <x:v>0.3329</x:v>
      </x:c>
      <x:c r="C8" s="78"/>
      <x:c r="D8" s="27" t="str">
        <x:v>Direct finite-shoe simulation covers n=25 through n=2,500. Larger conditions aggregate independently resampled matched 2,500-round blocks; each result row identifies its estimation mode.</x:v>
      </x:c>
      <x:c r="E8" s="27" t="str">
        <x:v>Direct finite-shoe simulation covers n=25 through n=2,500. Larger conditions aggregate independently resampled matched 2,500-round blocks; each result row identifies its estimation mode.</x:v>
      </x:c>
      <x:c r="F8" s="27" t="str">
        <x:v>Direct finite-shoe simulation covers n=25 through n=2,500. Larger conditions aggregate independently resampled matched 2,500-round blocks; each result row identifies its estimation mode.</x:v>
      </x:c>
      <x:c r="G8" s="27" t="str">
        <x:v>Direct finite-shoe simulation covers n=25 through n=2,500. Larger conditions aggregate independently resampled matched 2,500-round blocks; each result row identifies its estimation mode.</x:v>
      </x:c>
      <x:c r="H8" s="27" t="str">
        <x:v>Direct finite-shoe simulation covers n=25 through n=2,500. Larger conditions aggregate independently resampled matched 2,500-round blocks; each result row identifies its estimation mode.</x:v>
      </x:c>
      <x:c r="I8" s="78"/>
      <x:c r="J8" s="78"/>
      <x:c r="K8" s="78"/>
      <x:c r="L8" s="78"/>
      <x:c r="M8" s="78"/>
      <x:c r="N8" s="78"/>
      <x:c r="O8" s="78"/>
      <x:c r="P8" s="78"/>
      <x:c r="Q8" s="78"/>
    </x:row>
    <x:row r="9">
      <x:c r="A9" s="11" t="str">
        <x:v>Reversal probability at 1,000 rounds</x:v>
      </x:c>
      <x:c r="B9" s="81" t="n">
        <x:f>'Core PFME'!F10</x:f>
        <x:v>0.0922</x:v>
      </x:c>
      <x:c r="C9" s="78"/>
      <x:c r="D9" s="27" t="str">
        <x:v>Direct finite-shoe simulation covers n=25 through n=2,500. Larger conditions aggregate independently resampled matched 2,500-round blocks; each result row identifies its estimation mode.</x:v>
      </x:c>
      <x:c r="E9" s="27" t="str">
        <x:v>Direct finite-shoe simulation covers n=25 through n=2,500. Larger conditions aggregate independently resampled matched 2,500-round blocks; each result row identifies its estimation mode.</x:v>
      </x:c>
      <x:c r="F9" s="27" t="str">
        <x:v>Direct finite-shoe simulation covers n=25 through n=2,500. Larger conditions aggregate independently resampled matched 2,500-round blocks; each result row identifies its estimation mode.</x:v>
      </x:c>
      <x:c r="G9" s="27" t="str">
        <x:v>Direct finite-shoe simulation covers n=25 through n=2,500. Larger conditions aggregate independently resampled matched 2,500-round blocks; each result row identifies its estimation mode.</x:v>
      </x:c>
      <x:c r="H9" s="27" t="str">
        <x:v>Direct finite-shoe simulation covers n=25 through n=2,500. Larger conditions aggregate independently resampled matched 2,500-round blocks; each result row identifies its estimation mode.</x:v>
      </x:c>
      <x:c r="I9" s="78"/>
      <x:c r="J9" s="78"/>
      <x:c r="K9" s="78"/>
      <x:c r="L9" s="78"/>
      <x:c r="M9" s="78"/>
      <x:c r="N9" s="78"/>
      <x:c r="O9" s="78"/>
      <x:c r="P9" s="78"/>
      <x:c r="Q9" s="78"/>
    </x:row>
    <x:row r="10">
      <x:c r="A10" s="11" t="str">
        <x:v>Reversal probability at 2,500 rounds</x:v>
      </x:c>
      <x:c r="B10" s="81" t="n">
        <x:f>'Core PFME'!F11</x:f>
        <x:v>0.02</x:v>
      </x:c>
      <x:c r="C10" s="78"/>
      <x:c r="D10" s="27" t="str">
        <x:v>Direct finite-shoe simulation covers n=25 through n=2,500. Larger conditions aggregate independently resampled matched 2,500-round blocks; each result row identifies its estimation mode.</x:v>
      </x:c>
      <x:c r="E10" s="27" t="str">
        <x:v>Direct finite-shoe simulation covers n=25 through n=2,500. Larger conditions aggregate independently resampled matched 2,500-round blocks; each result row identifies its estimation mode.</x:v>
      </x:c>
      <x:c r="F10" s="27" t="str">
        <x:v>Direct finite-shoe simulation covers n=25 through n=2,500. Larger conditions aggregate independently resampled matched 2,500-round blocks; each result row identifies its estimation mode.</x:v>
      </x:c>
      <x:c r="G10" s="27" t="str">
        <x:v>Direct finite-shoe simulation covers n=25 through n=2,500. Larger conditions aggregate independently resampled matched 2,500-round blocks; each result row identifies its estimation mode.</x:v>
      </x:c>
      <x:c r="H10" s="27" t="str">
        <x:v>Direct finite-shoe simulation covers n=25 through n=2,500. Larger conditions aggregate independently resampled matched 2,500-round blocks; each result row identifies its estimation mode.</x:v>
      </x:c>
      <x:c r="I10" s="78"/>
      <x:c r="J10" s="78"/>
      <x:c r="K10" s="78"/>
      <x:c r="L10" s="78"/>
      <x:c r="M10" s="78"/>
      <x:c r="N10" s="78"/>
      <x:c r="O10" s="78"/>
      <x:c r="P10" s="78"/>
      <x:c r="Q10" s="78"/>
    </x:row>
    <x:row r="11">
      <x:c r="A11" s="11" t="str">
        <x:v>Median paired variance reduction</x:v>
      </x:c>
      <x:c r="B11" s="82" t="n">
        <x:f>MEDIAN('Core PFME'!I5:I15)</x:f>
        <x:v>0.19625702884929241</x:v>
      </x:c>
      <x:c r="C11" s="78"/>
      <x:c r="D11" s="31" t="str">
        <x:v>Source correction: the supplied notebook created 78 cards for a six-deck shoe while also setting the cut threshold to 78. It therefore reshuffled before every round. See Source Audit.</x:v>
      </x:c>
      <x:c r="E11" s="31" t="str">
        <x:v>Source correction: the supplied notebook created 78 cards for a six-deck shoe while also setting the cut threshold to 78. It therefore reshuffled before every round. See Source Audit.</x:v>
      </x:c>
      <x:c r="F11" s="31" t="str">
        <x:v>Source correction: the supplied notebook created 78 cards for a six-deck shoe while also setting the cut threshold to 78. It therefore reshuffled before every round. See Source Audit.</x:v>
      </x:c>
      <x:c r="G11" s="31" t="str">
        <x:v>Source correction: the supplied notebook created 78 cards for a six-deck shoe while also setting the cut threshold to 78. It therefore reshuffled before every round. See Source Audit.</x:v>
      </x:c>
      <x:c r="H11" s="31" t="str">
        <x:v>Source correction: the supplied notebook created 78 cards for a six-deck shoe while also setting the cut threshold to 78. It therefore reshuffled before every round. See Source Audit.</x:v>
      </x:c>
      <x:c r="I11" s="78"/>
      <x:c r="J11" s="78"/>
      <x:c r="K11" s="78"/>
      <x:c r="L11" s="78"/>
      <x:c r="M11" s="78"/>
      <x:c r="N11" s="78"/>
      <x:c r="O11" s="78"/>
      <x:c r="P11" s="78"/>
      <x:c r="Q11" s="78"/>
    </x:row>
    <x:row r="12">
      <x:c r="A12" s="13" t="str">
        <x:v>Paired rounds required for 1% risk</x:v>
      </x:c>
      <x:c r="B12" s="83" t="n">
        <x:f>'Required Sizes'!E9</x:f>
        <x:v>3208</x:v>
      </x:c>
      <x:c r="C12" s="78"/>
      <x:c r="D12" s="31" t="str">
        <x:v>Source correction: the supplied notebook created 78 cards for a six-deck shoe while also setting the cut threshold to 78. It therefore reshuffled before every round. See Source Audit.</x:v>
      </x:c>
      <x:c r="E12" s="31" t="str">
        <x:v>Source correction: the supplied notebook created 78 cards for a six-deck shoe while also setting the cut threshold to 78. It therefore reshuffled before every round. See Source Audit.</x:v>
      </x:c>
      <x:c r="F12" s="31" t="str">
        <x:v>Source correction: the supplied notebook created 78 cards for a six-deck shoe while also setting the cut threshold to 78. It therefore reshuffled before every round. See Source Audit.</x:v>
      </x:c>
      <x:c r="G12" s="31" t="str">
        <x:v>Source correction: the supplied notebook created 78 cards for a six-deck shoe while also setting the cut threshold to 78. It therefore reshuffled before every round. See Source Audit.</x:v>
      </x:c>
      <x:c r="H12" s="31" t="str">
        <x:v>Source correction: the supplied notebook created 78 cards for a six-deck shoe while also setting the cut threshold to 78. It therefore reshuffled before every round. See Source Audit.</x:v>
      </x:c>
      <x:c r="I12" s="78"/>
      <x:c r="J12" s="78"/>
      <x:c r="K12" s="78"/>
      <x:c r="L12" s="78"/>
      <x:c r="M12" s="78"/>
      <x:c r="N12" s="78"/>
      <x:c r="O12" s="78"/>
      <x:c r="P12" s="78"/>
      <x:c r="Q12" s="78"/>
    </x:row>
    <x:row r="13">
      <x:c r="A13" s="78"/>
      <x:c r="B13" s="78"/>
      <x:c r="C13" s="78"/>
      <x:c r="D13" s="31" t="str">
        <x:v>Source correction: the supplied notebook created 78 cards for a six-deck shoe while also setting the cut threshold to 78. It therefore reshuffled before every round. See Source Audit.</x:v>
      </x:c>
      <x:c r="E13" s="31" t="str">
        <x:v>Source correction: the supplied notebook created 78 cards for a six-deck shoe while also setting the cut threshold to 78. It therefore reshuffled before every round. See Source Audit.</x:v>
      </x:c>
      <x:c r="F13" s="31" t="str">
        <x:v>Source correction: the supplied notebook created 78 cards for a six-deck shoe while also setting the cut threshold to 78. It therefore reshuffled before every round. See Source Audit.</x:v>
      </x:c>
      <x:c r="G13" s="31" t="str">
        <x:v>Source correction: the supplied notebook created 78 cards for a six-deck shoe while also setting the cut threshold to 78. It therefore reshuffled before every round. See Source Audit.</x:v>
      </x:c>
      <x:c r="H13" s="31" t="str">
        <x:v>Source correction: the supplied notebook created 78 cards for a six-deck shoe while also setting the cut threshold to 78. It therefore reshuffled before every round. See Source Audit.</x:v>
      </x:c>
      <x:c r="I13" s="78"/>
      <x:c r="J13" s="78"/>
      <x:c r="K13" s="78"/>
      <x:c r="L13" s="78"/>
      <x:c r="M13" s="78"/>
      <x:c r="N13" s="78"/>
      <x:c r="O13" s="78"/>
      <x:c r="P13" s="78"/>
      <x:c r="Q13" s="78"/>
    </x:row>
    <x:row r="14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</x:row>
    <x:row r="15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</x:row>
    <x:row r="18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</x:row>
    <x:row r="19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</x:row>
    <x:row r="20">
      <x:c r="A20" s="78"/>
      <x:c r="B20" s="78"/>
      <x:c r="C20" s="78"/>
      <x:c r="D20" s="78"/>
      <x:c r="E20" s="78"/>
      <x:c r="F20" s="78"/>
      <x:c r="G20" s="78"/>
      <x:c r="H20" s="78"/>
      <x:c r="I20" s="78"/>
      <x:c r="J20" s="32" t="str">
        <x:v>Rounds</x:v>
      </x:c>
      <x:c r="K20" s="32" t="str">
        <x:v>Paired empirical</x:v>
      </x:c>
      <x:c r="L20" s="32" t="str">
        <x:v>Unpaired empirical</x:v>
      </x:c>
      <x:c r="M20" s="78"/>
      <x:c r="N20" s="78"/>
      <x:c r="O20" s="78"/>
      <x:c r="P20" s="78"/>
      <x:c r="Q20" s="78"/>
    </x:row>
    <x:row r="21">
      <x:c r="A21" s="78"/>
      <x:c r="B21" s="78"/>
      <x:c r="C21" s="78"/>
      <x:c r="D21" s="78"/>
      <x:c r="E21" s="78"/>
      <x:c r="F21" s="78"/>
      <x:c r="G21" s="78"/>
      <x:c r="H21" s="78"/>
      <x:c r="I21" s="78"/>
      <x:c r="J21" s="32" t="n">
        <x:v>25</x:v>
      </x:c>
      <x:c r="K21" s="33" t="n">
        <x:v>0.3965</x:v>
      </x:c>
      <x:c r="L21" s="33" t="n">
        <x:v>0.4056</x:v>
      </x:c>
      <x:c r="M21" s="78"/>
      <x:c r="N21" s="78"/>
      <x:c r="O21" s="78"/>
      <x:c r="P21" s="78"/>
      <x:c r="Q21" s="78"/>
    </x:row>
    <x:row r="22">
      <x:c r="A22" s="78"/>
      <x:c r="B22" s="78"/>
      <x:c r="C22" s="78"/>
      <x:c r="D22" s="78"/>
      <x:c r="E22" s="78"/>
      <x:c r="F22" s="78"/>
      <x:c r="G22" s="78"/>
      <x:c r="H22" s="78"/>
      <x:c r="I22" s="78"/>
      <x:c r="J22" s="32" t="n">
        <x:v>50</x:v>
      </x:c>
      <x:c r="K22" s="33" t="n">
        <x:v>0.3674</x:v>
      </x:c>
      <x:c r="L22" s="33" t="n">
        <x:v>0.3818</x:v>
      </x:c>
      <x:c r="M22" s="78"/>
      <x:c r="N22" s="78"/>
      <x:c r="O22" s="78"/>
      <x:c r="P22" s="78"/>
      <x:c r="Q22" s="78"/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78"/>
      <x:c r="J23" s="32" t="n">
        <x:v>100</x:v>
      </x:c>
      <x:c r="K23" s="33" t="n">
        <x:v>0.3329</x:v>
      </x:c>
      <x:c r="L23" s="33" t="n">
        <x:v>0.3502</x:v>
      </x:c>
      <x:c r="M23" s="78"/>
      <x:c r="N23" s="78"/>
      <x:c r="O23" s="78"/>
      <x:c r="P23" s="78"/>
      <x:c r="Q23" s="78"/>
    </x:row>
    <x:row r="24">
      <x:c r="A24" s="78"/>
      <x:c r="B24" s="78"/>
      <x:c r="C24" s="78"/>
      <x:c r="D24" s="78"/>
      <x:c r="E24" s="78"/>
      <x:c r="F24" s="78"/>
      <x:c r="G24" s="78"/>
      <x:c r="H24" s="78"/>
      <x:c r="I24" s="78"/>
      <x:c r="J24" s="32" t="n">
        <x:v>250</x:v>
      </x:c>
      <x:c r="K24" s="33" t="n">
        <x:v>0.2552</x:v>
      </x:c>
      <x:c r="L24" s="33" t="n">
        <x:v>0.2753</x:v>
      </x:c>
      <x:c r="M24" s="78"/>
      <x:c r="N24" s="78"/>
      <x:c r="O24" s="78"/>
      <x:c r="P24" s="78"/>
      <x:c r="Q24" s="78"/>
    </x:row>
    <x:row r="25">
      <x:c r="A25" s="78"/>
      <x:c r="B25" s="78"/>
      <x:c r="C25" s="78"/>
      <x:c r="D25" s="78"/>
      <x:c r="E25" s="78"/>
      <x:c r="F25" s="78"/>
      <x:c r="G25" s="78"/>
      <x:c r="H25" s="78"/>
      <x:c r="I25" s="78"/>
      <x:c r="J25" s="32" t="n">
        <x:v>500</x:v>
      </x:c>
      <x:c r="K25" s="33" t="n">
        <x:v>0.1737</x:v>
      </x:c>
      <x:c r="L25" s="33" t="n">
        <x:v>0.2009</x:v>
      </x:c>
      <x:c r="M25" s="78"/>
      <x:c r="N25" s="78"/>
      <x:c r="O25" s="78"/>
      <x:c r="P25" s="78"/>
      <x:c r="Q25" s="78"/>
    </x:row>
    <x:row r="26">
      <x:c r="A26" s="78"/>
      <x:c r="B26" s="78"/>
      <x:c r="C26" s="78"/>
      <x:c r="D26" s="78"/>
      <x:c r="E26" s="78"/>
      <x:c r="F26" s="78"/>
      <x:c r="G26" s="78"/>
      <x:c r="H26" s="78"/>
      <x:c r="I26" s="78"/>
      <x:c r="J26" s="32" t="n">
        <x:v>1000</x:v>
      </x:c>
      <x:c r="K26" s="33" t="n">
        <x:v>0.0922</x:v>
      </x:c>
      <x:c r="L26" s="33" t="n">
        <x:v>0.1136</x:v>
      </x:c>
      <x:c r="M26" s="78"/>
      <x:c r="N26" s="78"/>
      <x:c r="O26" s="78"/>
      <x:c r="P26" s="78"/>
      <x:c r="Q26" s="78"/>
    </x:row>
    <x:row r="27">
      <x:c r="A27" s="78"/>
      <x:c r="B27" s="78"/>
      <x:c r="C27" s="78"/>
      <x:c r="D27" s="78"/>
      <x:c r="E27" s="78"/>
      <x:c r="F27" s="78"/>
      <x:c r="G27" s="78"/>
      <x:c r="H27" s="78"/>
      <x:c r="I27" s="78"/>
      <x:c r="J27" s="32" t="n">
        <x:v>2500</x:v>
      </x:c>
      <x:c r="K27" s="33" t="n">
        <x:v>0.02</x:v>
      </x:c>
      <x:c r="L27" s="33" t="n">
        <x:v>0.0334</x:v>
      </x:c>
      <x:c r="M27" s="78"/>
      <x:c r="N27" s="78"/>
      <x:c r="O27" s="78"/>
      <x:c r="P27" s="78"/>
      <x:c r="Q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32" t="n">
        <x:v>5000</x:v>
      </x:c>
      <x:c r="K28" s="33" t="n">
        <x:v>0.0019</x:v>
      </x:c>
      <x:c r="L28" s="33" t="n">
        <x:v>0.004</x:v>
      </x:c>
      <x:c r="M28" s="78"/>
      <x:c r="N28" s="78"/>
      <x:c r="O28" s="78"/>
      <x:c r="P28" s="78"/>
      <x:c r="Q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32" t="n">
        <x:v>10000</x:v>
      </x:c>
      <x:c r="K29" s="33" t="n">
        <x:v>0</x:v>
      </x:c>
      <x:c r="L29" s="33" t="n">
        <x:v>0</x:v>
      </x:c>
      <x:c r="M29" s="78"/>
      <x:c r="N29" s="78"/>
      <x:c r="O29" s="78"/>
      <x:c r="P29" s="78"/>
      <x:c r="Q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32" t="n">
        <x:v>25000</x:v>
      </x:c>
      <x:c r="K30" s="33" t="n">
        <x:v>0</x:v>
      </x:c>
      <x:c r="L30" s="33" t="n">
        <x:v>0</x:v>
      </x:c>
      <x:c r="M30" s="78"/>
      <x:c r="N30" s="78"/>
      <x:c r="O30" s="78"/>
      <x:c r="P30" s="78"/>
      <x:c r="Q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32" t="n">
        <x:v>50000</x:v>
      </x:c>
      <x:c r="K31" s="33" t="n">
        <x:v>0</x:v>
      </x:c>
      <x:c r="L31" s="33" t="n">
        <x:v>0</x:v>
      </x:c>
      <x:c r="M31" s="78"/>
      <x:c r="N31" s="78"/>
      <x:c r="O31" s="78"/>
      <x:c r="P31" s="78"/>
      <x:c r="Q31" s="78"/>
    </x:row>
  </x:sheetData>
  <x:mergeCells>
    <x:mergeCell ref="A2:Q2"/>
    <x:mergeCell ref="D5:H7"/>
    <x:mergeCell ref="D8:H10"/>
    <x:mergeCell ref="D11:H13"/>
  </x:mergeCells>
  <x:pageMargins left="0.7" right="0.7" top="0.75" bottom="0.75" header="0.3" footer="0.3"/>
  <x:drawing xmlns:r="http://schemas.openxmlformats.org/officeDocument/2006/relationships" r:id="R1998035936ee4c4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15" hidden="0" customWidth="1"/>
    <x:col min="4" max="4" width="17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9" hidden="0" customWidth="1"/>
    <x:col min="13" max="13" width="18" hidden="0" customWidth="1"/>
  </x:cols>
  <x:sheetData>
    <x:row r="1" ht="25" customHeight="1">
      <x:c r="A1" s="2" t="str">
        <x:v>Core PFME results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</x:row>
    <x:row r="2" ht="22" customHeight="1">
      <x:c r="A2" s="4" t="str">
        <x:v>Basic versus Simplified under the corrected blackjack model. Values are return percentage points per original round.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</x:row>
    <x:row r="4">
      <x:c r="A4" s="43" t="str">
        <x:v>Sample size</x:v>
      </x:c>
      <x:c r="B4" s="44" t="str">
        <x:v>Estimation mode</x:v>
      </x:c>
      <x:c r="C4" s="44" t="str">
        <x:v>Basic mean (%)</x:v>
      </x:c>
      <x:c r="D4" s="44" t="str">
        <x:v>Simplified mean (%)</x:v>
      </x:c>
      <x:c r="E4" s="44" t="str">
        <x:v>Paired advantage (pp)</x:v>
      </x:c>
      <x:c r="F4" s="44" t="str">
        <x:v>Empirical reversal</x:v>
      </x:c>
      <x:c r="G4" s="44" t="str">
        <x:v>Normal prediction</x:v>
      </x:c>
      <x:c r="H4" s="44" t="str">
        <x:v>Unpaired reversal</x:v>
      </x:c>
      <x:c r="I4" s="44" t="str">
        <x:v>Variance reduction</x:v>
      </x:c>
      <x:c r="J4" s="44" t="str">
        <x:v>95% CI lower (pp)</x:v>
      </x:c>
      <x:c r="K4" s="44" t="str">
        <x:v>95% CI upper (pp)</x:v>
      </x:c>
      <x:c r="L4" s="44" t="str">
        <x:v>Berry-Esseen error bound</x:v>
      </x:c>
      <x:c r="M4" s="45" t="str">
        <x:v>Hoeffding upper bound</x:v>
      </x:c>
    </x:row>
    <x:row r="5">
      <x:c r="A5" s="53" t="n">
        <x:v>25</x:v>
      </x:c>
      <x:c r="B5" s="56" t="str">
        <x:v>direct_finite_shoe_monte_carlo</x:v>
      </x:c>
      <x:c r="C5" s="59" t="n">
        <x:v>-0.1856</x:v>
      </x:c>
      <x:c r="D5" s="59" t="n">
        <x:v>-6.2296</x:v>
      </x:c>
      <x:c r="E5" s="62" t="n">
        <x:v>6.044</x:v>
      </x:c>
      <x:c r="F5" s="65" t="n">
        <x:v>0.3965</x:v>
      </x:c>
      <x:c r="G5" s="65" t="n">
        <x:v>0.4106390125494126</x:v>
      </x:c>
      <x:c r="H5" s="65" t="n">
        <x:v>0.4056</x:v>
      </x:c>
      <x:c r="I5" s="68" t="n">
        <x:v>0.22371025853386595</x:v>
      </x:c>
      <x:c r="J5" s="62" t="n">
        <x:v>5.5195477042243315</x:v>
      </x:c>
      <x:c r="K5" s="62" t="n">
        <x:v>6.568452295775668</x:v>
      </x:c>
      <x:c r="L5" s="68" t="n">
        <x:v>0.23199969937266876</x:v>
      </x:c>
      <x:c r="M5" s="68" t="n">
        <x:v>0.9995447538099087</x:v>
      </x:c>
    </x:row>
    <x:row r="6">
      <x:c r="A6" s="54" t="n">
        <x:v>50</x:v>
      </x:c>
      <x:c r="B6" s="57" t="str">
        <x:v>direct_finite_shoe_monte_carlo</x:v>
      </x:c>
      <x:c r="C6" s="60" t="n">
        <x:v>-0.286</x:v>
      </x:c>
      <x:c r="D6" s="60" t="n">
        <x:v>-6.2071</x:v>
      </x:c>
      <x:c r="E6" s="63" t="n">
        <x:v>5.9211</x:v>
      </x:c>
      <x:c r="F6" s="66" t="n">
        <x:v>0.3674</x:v>
      </x:c>
      <x:c r="G6" s="66" t="n">
        <x:v>0.3763318922570836</x:v>
      </x:c>
      <x:c r="H6" s="66" t="n">
        <x:v>0.3818</x:v>
      </x:c>
      <x:c r="I6" s="69" t="n">
        <x:v>0.23056678582052204</x:v>
      </x:c>
      <x:c r="J6" s="63" t="n">
        <x:v>5.5527888865529595</x:v>
      </x:c>
      <x:c r="K6" s="63" t="n">
        <x:v>6.2894111134470405</x:v>
      </x:c>
      <x:c r="L6" s="69" t="n">
        <x:v>0.16404856065965448</x:v>
      </x:c>
      <x:c r="M6" s="69" t="n">
        <x:v>0.999089714868911</x:v>
      </x:c>
    </x:row>
    <x:row r="7">
      <x:c r="A7" s="54" t="n">
        <x:v>100</x:v>
      </x:c>
      <x:c r="B7" s="57" t="str">
        <x:v>direct_finite_shoe_monte_carlo</x:v>
      </x:c>
      <x:c r="C7" s="60" t="n">
        <x:v>-0.5222</x:v>
      </x:c>
      <x:c r="D7" s="60" t="n">
        <x:v>-6.1235</x:v>
      </x:c>
      <x:c r="E7" s="63" t="n">
        <x:v>5.6013</x:v>
      </x:c>
      <x:c r="F7" s="66" t="n">
        <x:v>0.3329</x:v>
      </x:c>
      <x:c r="G7" s="66" t="n">
        <x:v>0.3393905219032076</x:v>
      </x:c>
      <x:c r="H7" s="66" t="n">
        <x:v>0.3502</x:v>
      </x:c>
      <x:c r="I7" s="69" t="n">
        <x:v>0.1930285407529274</x:v>
      </x:c>
      <x:c r="J7" s="63" t="n">
        <x:v>5.336171831627444</x:v>
      </x:c>
      <x:c r="K7" s="63" t="n">
        <x:v>5.866428168372557</x:v>
      </x:c>
      <x:c r="L7" s="69" t="n">
        <x:v>0.11599984968633438</x:v>
      </x:c>
      <x:c r="M7" s="69" t="n">
        <x:v>0.9981802583568419</x:v>
      </x:c>
    </x:row>
    <x:row r="8">
      <x:c r="A8" s="54" t="n">
        <x:v>250</x:v>
      </x:c>
      <x:c r="B8" s="57" t="str">
        <x:v>direct_finite_shoe_monte_carlo</x:v>
      </x:c>
      <x:c r="C8" s="60" t="n">
        <x:v>-0.4856</x:v>
      </x:c>
      <x:c r="D8" s="60" t="n">
        <x:v>-6.1216</x:v>
      </x:c>
      <x:c r="E8" s="63" t="n">
        <x:v>5.636</x:v>
      </x:c>
      <x:c r="F8" s="66" t="n">
        <x:v>0.2552</x:v>
      </x:c>
      <x:c r="G8" s="66" t="n">
        <x:v>0.25576804132787145</x:v>
      </x:c>
      <x:c r="H8" s="66" t="n">
        <x:v>0.2753</x:v>
      </x:c>
      <x:c r="I8" s="69" t="n">
        <x:v>0.1963384243958438</x:v>
      </x:c>
      <x:c r="J8" s="63" t="n">
        <x:v>5.467704891932349</x:v>
      </x:c>
      <x:c r="K8" s="63" t="n">
        <x:v>5.8042951080676515</x:v>
      </x:c>
      <x:c r="L8" s="69" t="n">
        <x:v>0.07336474664919704</x:v>
      </x:c>
      <x:c r="M8" s="69" t="n">
        <x:v>0.9954568529953904</x:v>
      </x:c>
    </x:row>
    <x:row r="9">
      <x:c r="A9" s="54" t="n">
        <x:v>500</x:v>
      </x:c>
      <x:c r="B9" s="57" t="str">
        <x:v>direct_finite_shoe_monte_carlo</x:v>
      </x:c>
      <x:c r="C9" s="60" t="n">
        <x:v>-0.5017400000000001</x:v>
      </x:c>
      <x:c r="D9" s="60" t="n">
        <x:v>-6.13611</x:v>
      </x:c>
      <x:c r="E9" s="63" t="n">
        <x:v>5.63437</x:v>
      </x:c>
      <x:c r="F9" s="66" t="n">
        <x:v>0.1737</x:v>
      </x:c>
      <x:c r="G9" s="66" t="n">
        <x:v>0.17682154854281412</x:v>
      </x:c>
      <x:c r="H9" s="66" t="n">
        <x:v>0.2009</x:v>
      </x:c>
      <x:c r="I9" s="69" t="n">
        <x:v>0.19489777688386978</x:v>
      </x:c>
      <x:c r="J9" s="63" t="n">
        <x:v>5.515297752695659</x:v>
      </x:c>
      <x:c r="K9" s="63" t="n">
        <x:v>5.75344224730434</x:v>
      </x:c>
      <x:c r="L9" s="69" t="n">
        <x:v>0.05187670985568026</x:v>
      </x:c>
      <x:c r="M9" s="69" t="n">
        <x:v>0.9909343461754864</x:v>
      </x:c>
    </x:row>
    <x:row r="10">
      <x:c r="A10" s="54" t="n">
        <x:v>1000</x:v>
      </x:c>
      <x:c r="B10" s="57" t="str">
        <x:v>direct_finite_shoe_monte_carlo</x:v>
      </x:c>
      <x:c r="C10" s="60" t="n">
        <x:v>-0.46715500000000004</x:v>
      </x:c>
      <x:c r="D10" s="60" t="n">
        <x:v>-6.090104999999999</x:v>
      </x:c>
      <x:c r="E10" s="63" t="n">
        <x:v>5.62295</x:v>
      </x:c>
      <x:c r="F10" s="66" t="n">
        <x:v>0.0922</x:v>
      </x:c>
      <x:c r="G10" s="66" t="n">
        <x:v>0.09494270489593298</x:v>
      </x:c>
      <x:c r="H10" s="66" t="n">
        <x:v>0.1136</x:v>
      </x:c>
      <x:c r="I10" s="69" t="n">
        <x:v>0.19625702884929241</x:v>
      </x:c>
      <x:c r="J10" s="63" t="n">
        <x:v>5.538870658454912</x:v>
      </x:c>
      <x:c r="K10" s="63" t="n">
        <x:v>5.707029341545089</x:v>
      </x:c>
      <x:c r="L10" s="69" t="n">
        <x:v>0.03668237332459852</x:v>
      </x:c>
      <x:c r="M10" s="69" t="n">
        <x:v>0.9819508784302386</x:v>
      </x:c>
    </x:row>
    <x:row r="11">
      <x:c r="A11" s="54" t="n">
        <x:v>2500</x:v>
      </x:c>
      <x:c r="B11" s="57" t="str">
        <x:v>direct_finite_shoe_monte_carlo</x:v>
      </x:c>
      <x:c r="C11" s="60" t="n">
        <x:v>-0.5005539999999999</x:v>
      </x:c>
      <x:c r="D11" s="60" t="n">
        <x:v>-6.076422</x:v>
      </x:c>
      <x:c r="E11" s="63" t="n">
        <x:v>5.575868</x:v>
      </x:c>
      <x:c r="F11" s="66" t="n">
        <x:v>0.02</x:v>
      </x:c>
      <x:c r="G11" s="66" t="n">
        <x:v>0.020117515123802804</x:v>
      </x:c>
      <x:c r="H11" s="66" t="n">
        <x:v>0.0334</x:v>
      </x:c>
      <x:c r="I11" s="69" t="n">
        <x:v>0.19284739306389742</x:v>
      </x:c>
      <x:c r="J11" s="63" t="n">
        <x:v>5.5225863000112145</x:v>
      </x:c>
      <x:c r="K11" s="63" t="n">
        <x:v>5.629149699988785</x:v>
      </x:c>
      <x:c r="L11" s="69" t="n">
        <x:v>0.023199969937266876</x:v>
      </x:c>
      <x:c r="M11" s="69" t="n">
        <x:v>0.9554861746761766</x:v>
      </x:c>
    </x:row>
    <x:row r="12">
      <x:c r="A12" s="54" t="n">
        <x:v>5000</x:v>
      </x:c>
      <x:c r="B12" s="57" t="str">
        <x:v>paired_bootstrap_of_2_independent_2500_round_blocks</x:v>
      </x:c>
      <x:c r="C12" s="60" t="n">
        <x:v>-0.490415</x:v>
      </x:c>
      <x:c r="D12" s="60" t="n">
        <x:v>-6.100107</x:v>
      </x:c>
      <x:c r="E12" s="63" t="n">
        <x:v>5.609692</x:v>
      </x:c>
      <x:c r="F12" s="66" t="n">
        <x:v>0.0019</x:v>
      </x:c>
      <x:c r="G12" s="66" t="n">
        <x:v>0.00159251552186589</x:v>
      </x:c>
      <x:c r="H12" s="66" t="n">
        <x:v>0.004</x:v>
      </x:c>
      <x:c r="I12" s="69" t="n">
        <x:v>0.20467950653372158</x:v>
      </x:c>
      <x:c r="J12" s="63" t="n">
        <x:v>5.572408048026578</x:v>
      </x:c>
      <x:c r="K12" s="63" t="n">
        <x:v>5.646975951973422</x:v>
      </x:c>
      <x:c r="L12" s="69" t="n">
        <x:v>0.01640485606596545</x:v>
      </x:c>
      <x:c r="M12" s="69" t="n">
        <x:v>0.9129538299973131</x:v>
      </x:c>
    </x:row>
    <x:row r="13">
      <x:c r="A13" s="54" t="n">
        <x:v>10000</x:v>
      </x:c>
      <x:c r="B13" s="57" t="str">
        <x:v>paired_bootstrap_of_4_independent_2500_round_blocks</x:v>
      </x:c>
      <x:c r="C13" s="60" t="n">
        <x:v>-0.5009405</x:v>
      </x:c>
      <x:c r="D13" s="60" t="n">
        <x:v>-6.0904665</x:v>
      </x:c>
      <x:c r="E13" s="63" t="n">
        <x:v>5.589525999999999</x:v>
      </x:c>
      <x:c r="F13" s="66" t="n">
        <x:v>0</x:v>
      </x:c>
      <x:c r="G13" s="66" t="n">
        <x:v>0.00001658257793139068</x:v>
      </x:c>
      <x:c r="H13" s="66" t="n">
        <x:v>0</x:v>
      </x:c>
      <x:c r="I13" s="69" t="n">
        <x:v>0.2030728203936948</x:v>
      </x:c>
      <x:c r="J13" s="63" t="n">
        <x:v>5.5631281755264075</x:v>
      </x:c>
      <x:c r="K13" s="63" t="n">
        <x:v>5.615923824473591</x:v>
      </x:c>
      <x:c r="L13" s="69" t="n">
        <x:v>0.011599984968633438</x:v>
      </x:c>
      <x:c r="M13" s="69" t="n">
        <x:v>0.8334846957067629</x:v>
      </x:c>
    </x:row>
    <x:row r="14">
      <x:c r="A14" s="54" t="n">
        <x:v>25000</x:v>
      </x:c>
      <x:c r="B14" s="57" t="str">
        <x:v>paired_bootstrap_of_10_independent_2500_round_blocks</x:v>
      </x:c>
      <x:c r="C14" s="60" t="n">
        <x:v>-0.4961708000000001</x:v>
      </x:c>
      <x:c r="D14" s="60" t="n">
        <x:v>-6.0742572</x:v>
      </x:c>
      <x:c r="E14" s="63" t="n">
        <x:v>5.5780864</x:v>
      </x:c>
      <x:c r="F14" s="66" t="n">
        <x:v>0</x:v>
      </x:c>
      <x:c r="G14" s="66" t="n">
        <x:v>7.228660349335179e-11</x:v>
      </x:c>
      <x:c r="H14" s="66" t="n">
        <x:v>0</x:v>
      </x:c>
      <x:c r="I14" s="69" t="n">
        <x:v>0.1752400421296164</x:v>
      </x:c>
      <x:c r="J14" s="63" t="n">
        <x:v>5.561031056028977</x:v>
      </x:c>
      <x:c r="K14" s="63" t="n">
        <x:v>5.595141743971023</x:v>
      </x:c>
      <x:c r="L14" s="69" t="n">
        <x:v>0.0073364746649197034</x:v>
      </x:c>
      <x:c r="M14" s="69" t="n">
        <x:v>0.6342260476231028</x:v>
      </x:c>
    </x:row>
    <x:row r="15">
      <x:c r="A15" s="55" t="n">
        <x:v>50000</x:v>
      </x:c>
      <x:c r="B15" s="58" t="str">
        <x:v>paired_bootstrap_of_20_independent_2500_round_blocks</x:v>
      </x:c>
      <x:c r="C15" s="61" t="n">
        <x:v>-0.4960819</x:v>
      </x:c>
      <x:c r="D15" s="61" t="n">
        <x:v>-6.0777234</x:v>
      </x:c>
      <x:c r="E15" s="64" t="n">
        <x:v>5.581641499999999</x:v>
      </x:c>
      <x:c r="F15" s="67" t="n">
        <x:v>0</x:v>
      </x:c>
      <x:c r="G15" s="67" t="n">
        <x:v>3.1807023087245046e-20</x:v>
      </x:c>
      <x:c r="H15" s="67" t="n">
        <x:v>0</x:v>
      </x:c>
      <x:c r="I15" s="70" t="n">
        <x:v>0.18818974347588158</x:v>
      </x:c>
      <x:c r="J15" s="64" t="n">
        <x:v>5.569668275221156</x:v>
      </x:c>
      <x:c r="K15" s="64" t="n">
        <x:v>5.593614724778842</x:v>
      </x:c>
      <x:c r="L15" s="70" t="n">
        <x:v>0.005187670985568027</x:v>
      </x:c>
      <x:c r="M15" s="70" t="n">
        <x:v>0.4022426794836222</x:v>
      </x:c>
    </x:row>
  </x:sheetData>
  <x:mergeCells>
    <x:mergeCell ref="A2:M2"/>
  </x:mergeCells>
  <x:pageMargins left="0.7" right="0.7" top="0.75" bottom="0.75" header="0.3" footer="0.3"/>
  <x:tableParts count="1">
    <x:tablePart xmlns:r="http://schemas.openxmlformats.org/officeDocument/2006/relationships" r:id="Rd4336d32419343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9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</x:cols>
  <x:sheetData>
    <x:row r="1" ht="25" customHeight="1">
      <x:c r="A1" s="2" t="str">
        <x:v>Cross-domain PFME validation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8"/>
    </x:row>
    <x:row r="2" ht="22" customHeight="1">
      <x:c r="A2" s="4" t="str">
        <x:v>Blackjack, inventory threshold selection, and queue assignment; raw return units differ by domain, so reversal probabilities are the comparable outcome.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A4" s="43" t="str">
        <x:v>Domain</x:v>
      </x:c>
      <x:c r="B4" s="44" t="str">
        <x:v>Rule A</x:v>
      </x:c>
      <x:c r="C4" s="44" t="str">
        <x:v>Rule B</x:v>
      </x:c>
      <x:c r="D4" s="44" t="str">
        <x:v>Sample size</x:v>
      </x:c>
      <x:c r="E4" s="44" t="str">
        <x:v>Mean difference</x:v>
      </x:c>
      <x:c r="F4" s="44" t="str">
        <x:v>Empirical reversal</x:v>
      </x:c>
      <x:c r="G4" s="44" t="str">
        <x:v>Normal prediction</x:v>
      </x:c>
      <x:c r="H4" s="44" t="str">
        <x:v>Variance reduction</x:v>
      </x:c>
      <x:c r="I4" s="45" t="str">
        <x:v>Return unit</x:v>
      </x:c>
      <x:c r="J4" s="78"/>
      <x:c r="K4" s="78"/>
      <x:c r="L4" s="78"/>
      <x:c r="M4" s="78"/>
      <x:c r="N4" s="78"/>
    </x:row>
    <x:row r="5">
      <x:c r="A5" s="50" t="str">
        <x:v>Blackjack</x:v>
      </x:c>
      <x:c r="B5" s="56" t="str">
        <x:v>Full basic strategy</x:v>
      </x:c>
      <x:c r="C5" s="56" t="str">
        <x:v>Simplified deterministic strategy</x:v>
      </x:c>
      <x:c r="D5" s="53" t="n">
        <x:v>25</x:v>
      </x:c>
      <x:c r="E5" s="62" t="n">
        <x:v>6.044</x:v>
      </x:c>
      <x:c r="F5" s="65" t="n">
        <x:v>0.3965</x:v>
      </x:c>
      <x:c r="G5" s="65" t="n">
        <x:v>0.4106390125494126</x:v>
      </x:c>
      <x:c r="H5" s="68" t="n">
        <x:v>0.22371025853386595</x:v>
      </x:c>
      <x:c r="I5" s="56" t="str">
        <x:v>return percentage points per original round</x:v>
      </x:c>
      <x:c r="J5" s="78"/>
      <x:c r="K5" s="78"/>
      <x:c r="L5" s="78"/>
      <x:c r="M5" s="78"/>
      <x:c r="N5" s="78"/>
    </x:row>
    <x:row r="6">
      <x:c r="A6" s="51" t="str">
        <x:v>Blackjack</x:v>
      </x:c>
      <x:c r="B6" s="57" t="str">
        <x:v>Full basic strategy</x:v>
      </x:c>
      <x:c r="C6" s="57" t="str">
        <x:v>Simplified deterministic strategy</x:v>
      </x:c>
      <x:c r="D6" s="54" t="n">
        <x:v>50</x:v>
      </x:c>
      <x:c r="E6" s="63" t="n">
        <x:v>5.9211</x:v>
      </x:c>
      <x:c r="F6" s="66" t="n">
        <x:v>0.3674</x:v>
      </x:c>
      <x:c r="G6" s="66" t="n">
        <x:v>0.3763318922570836</x:v>
      </x:c>
      <x:c r="H6" s="69" t="n">
        <x:v>0.23056678582052204</x:v>
      </x:c>
      <x:c r="I6" s="57" t="str">
        <x:v>return percentage points per original round</x:v>
      </x:c>
      <x:c r="J6" s="78"/>
      <x:c r="K6" s="78"/>
      <x:c r="L6" s="78"/>
      <x:c r="M6" s="78"/>
      <x:c r="N6" s="78"/>
    </x:row>
    <x:row r="7">
      <x:c r="A7" s="51" t="str">
        <x:v>Blackjack</x:v>
      </x:c>
      <x:c r="B7" s="57" t="str">
        <x:v>Full basic strategy</x:v>
      </x:c>
      <x:c r="C7" s="57" t="str">
        <x:v>Simplified deterministic strategy</x:v>
      </x:c>
      <x:c r="D7" s="54" t="n">
        <x:v>100</x:v>
      </x:c>
      <x:c r="E7" s="63" t="n">
        <x:v>5.6013</x:v>
      </x:c>
      <x:c r="F7" s="66" t="n">
        <x:v>0.3329</x:v>
      </x:c>
      <x:c r="G7" s="66" t="n">
        <x:v>0.3393905219032076</x:v>
      </x:c>
      <x:c r="H7" s="69" t="n">
        <x:v>0.1930285407529274</x:v>
      </x:c>
      <x:c r="I7" s="57" t="str">
        <x:v>return percentage points per original round</x:v>
      </x:c>
      <x:c r="J7" s="78"/>
      <x:c r="K7" s="78"/>
      <x:c r="L7" s="78"/>
      <x:c r="M7" s="78"/>
      <x:c r="N7" s="78"/>
    </x:row>
    <x:row r="8">
      <x:c r="A8" s="51" t="str">
        <x:v>Blackjack</x:v>
      </x:c>
      <x:c r="B8" s="57" t="str">
        <x:v>Full basic strategy</x:v>
      </x:c>
      <x:c r="C8" s="57" t="str">
        <x:v>Simplified deterministic strategy</x:v>
      </x:c>
      <x:c r="D8" s="54" t="n">
        <x:v>250</x:v>
      </x:c>
      <x:c r="E8" s="63" t="n">
        <x:v>5.636</x:v>
      </x:c>
      <x:c r="F8" s="66" t="n">
        <x:v>0.2552</x:v>
      </x:c>
      <x:c r="G8" s="66" t="n">
        <x:v>0.25576804132787145</x:v>
      </x:c>
      <x:c r="H8" s="69" t="n">
        <x:v>0.1963384243958438</x:v>
      </x:c>
      <x:c r="I8" s="57" t="str">
        <x:v>return percentage points per original round</x:v>
      </x:c>
      <x:c r="J8" s="78"/>
      <x:c r="K8" s="78"/>
      <x:c r="L8" s="78"/>
      <x:c r="M8" s="78"/>
      <x:c r="N8" s="78"/>
    </x:row>
    <x:row r="9">
      <x:c r="A9" s="51" t="str">
        <x:v>Blackjack</x:v>
      </x:c>
      <x:c r="B9" s="57" t="str">
        <x:v>Full basic strategy</x:v>
      </x:c>
      <x:c r="C9" s="57" t="str">
        <x:v>Simplified deterministic strategy</x:v>
      </x:c>
      <x:c r="D9" s="54" t="n">
        <x:v>500</x:v>
      </x:c>
      <x:c r="E9" s="63" t="n">
        <x:v>5.63437</x:v>
      </x:c>
      <x:c r="F9" s="66" t="n">
        <x:v>0.1737</x:v>
      </x:c>
      <x:c r="G9" s="66" t="n">
        <x:v>0.17682154854281412</x:v>
      </x:c>
      <x:c r="H9" s="69" t="n">
        <x:v>0.19489777688386978</x:v>
      </x:c>
      <x:c r="I9" s="57" t="str">
        <x:v>return percentage points per original round</x:v>
      </x:c>
      <x:c r="J9" s="78"/>
      <x:c r="K9" s="78"/>
      <x:c r="L9" s="78"/>
      <x:c r="M9" s="78"/>
      <x:c r="N9" s="78"/>
    </x:row>
    <x:row r="10">
      <x:c r="A10" s="51" t="str">
        <x:v>Blackjack</x:v>
      </x:c>
      <x:c r="B10" s="57" t="str">
        <x:v>Full basic strategy</x:v>
      </x:c>
      <x:c r="C10" s="57" t="str">
        <x:v>Simplified deterministic strategy</x:v>
      </x:c>
      <x:c r="D10" s="54" t="n">
        <x:v>1000</x:v>
      </x:c>
      <x:c r="E10" s="63" t="n">
        <x:v>5.62295</x:v>
      </x:c>
      <x:c r="F10" s="66" t="n">
        <x:v>0.0922</x:v>
      </x:c>
      <x:c r="G10" s="66" t="n">
        <x:v>0.09494270489593298</x:v>
      </x:c>
      <x:c r="H10" s="69" t="n">
        <x:v>0.19625702884929241</x:v>
      </x:c>
      <x:c r="I10" s="57" t="str">
        <x:v>return percentage points per original round</x:v>
      </x:c>
      <x:c r="J10" s="78"/>
      <x:c r="K10" s="78"/>
      <x:c r="L10" s="78"/>
      <x:c r="M10" s="78"/>
      <x:c r="N10" s="78"/>
    </x:row>
    <x:row r="11">
      <x:c r="A11" s="51" t="str">
        <x:v>Blackjack</x:v>
      </x:c>
      <x:c r="B11" s="57" t="str">
        <x:v>Full basic strategy</x:v>
      </x:c>
      <x:c r="C11" s="57" t="str">
        <x:v>Simplified deterministic strategy</x:v>
      </x:c>
      <x:c r="D11" s="54" t="n">
        <x:v>2500</x:v>
      </x:c>
      <x:c r="E11" s="63" t="n">
        <x:v>5.575868</x:v>
      </x:c>
      <x:c r="F11" s="66" t="n">
        <x:v>0.02</x:v>
      </x:c>
      <x:c r="G11" s="66" t="n">
        <x:v>0.020117515123802804</x:v>
      </x:c>
      <x:c r="H11" s="69" t="n">
        <x:v>0.19284739306389742</x:v>
      </x:c>
      <x:c r="I11" s="57" t="str">
        <x:v>return percentage points per original round</x:v>
      </x:c>
      <x:c r="J11" s="78"/>
      <x:c r="K11" s="78"/>
      <x:c r="L11" s="78"/>
      <x:c r="M11" s="78"/>
      <x:c r="N11" s="78"/>
    </x:row>
    <x:row r="12">
      <x:c r="A12" s="51" t="str">
        <x:v>Blackjack</x:v>
      </x:c>
      <x:c r="B12" s="57" t="str">
        <x:v>Full basic strategy</x:v>
      </x:c>
      <x:c r="C12" s="57" t="str">
        <x:v>Simplified deterministic strategy</x:v>
      </x:c>
      <x:c r="D12" s="54" t="n">
        <x:v>5000</x:v>
      </x:c>
      <x:c r="E12" s="63" t="n">
        <x:v>5.609692</x:v>
      </x:c>
      <x:c r="F12" s="66" t="n">
        <x:v>0.0019</x:v>
      </x:c>
      <x:c r="G12" s="66" t="n">
        <x:v>0.00159251552186589</x:v>
      </x:c>
      <x:c r="H12" s="69" t="n">
        <x:v>0.20467950653372158</x:v>
      </x:c>
      <x:c r="I12" s="57" t="str">
        <x:v>return percentage points per original round</x:v>
      </x:c>
      <x:c r="J12" s="78"/>
      <x:c r="K12" s="78"/>
      <x:c r="L12" s="78"/>
      <x:c r="M12" s="78"/>
      <x:c r="N12" s="78"/>
    </x:row>
    <x:row r="13">
      <x:c r="A13" s="51" t="str">
        <x:v>Blackjack</x:v>
      </x:c>
      <x:c r="B13" s="57" t="str">
        <x:v>Full basic strategy</x:v>
      </x:c>
      <x:c r="C13" s="57" t="str">
        <x:v>Simplified deterministic strategy</x:v>
      </x:c>
      <x:c r="D13" s="54" t="n">
        <x:v>10000</x:v>
      </x:c>
      <x:c r="E13" s="63" t="n">
        <x:v>5.589525999999999</x:v>
      </x:c>
      <x:c r="F13" s="66" t="n">
        <x:v>0</x:v>
      </x:c>
      <x:c r="G13" s="66" t="n">
        <x:v>0.00001658257793139068</x:v>
      </x:c>
      <x:c r="H13" s="69" t="n">
        <x:v>0.2030728203936948</x:v>
      </x:c>
      <x:c r="I13" s="57" t="str">
        <x:v>return percentage points per original round</x:v>
      </x:c>
      <x:c r="J13" s="78"/>
      <x:c r="K13" s="78"/>
      <x:c r="L13" s="78"/>
      <x:c r="M13" s="78"/>
      <x:c r="N13" s="78"/>
    </x:row>
    <x:row r="14">
      <x:c r="A14" s="51" t="str">
        <x:v>Blackjack</x:v>
      </x:c>
      <x:c r="B14" s="57" t="str">
        <x:v>Full basic strategy</x:v>
      </x:c>
      <x:c r="C14" s="57" t="str">
        <x:v>Simplified deterministic strategy</x:v>
      </x:c>
      <x:c r="D14" s="54" t="n">
        <x:v>25000</x:v>
      </x:c>
      <x:c r="E14" s="63" t="n">
        <x:v>5.5780864</x:v>
      </x:c>
      <x:c r="F14" s="66" t="n">
        <x:v>0</x:v>
      </x:c>
      <x:c r="G14" s="66" t="n">
        <x:v>7.228660349335179e-11</x:v>
      </x:c>
      <x:c r="H14" s="69" t="n">
        <x:v>0.1752400421296164</x:v>
      </x:c>
      <x:c r="I14" s="57" t="str">
        <x:v>return percentage points per original round</x:v>
      </x:c>
      <x:c r="J14" s="78"/>
      <x:c r="K14" s="78"/>
      <x:c r="L14" s="78"/>
      <x:c r="M14" s="78"/>
      <x:c r="N14" s="78"/>
    </x:row>
    <x:row r="15">
      <x:c r="A15" s="51" t="str">
        <x:v>Blackjack</x:v>
      </x:c>
      <x:c r="B15" s="57" t="str">
        <x:v>Full basic strategy</x:v>
      </x:c>
      <x:c r="C15" s="57" t="str">
        <x:v>Simplified deterministic strategy</x:v>
      </x:c>
      <x:c r="D15" s="54" t="n">
        <x:v>50000</x:v>
      </x:c>
      <x:c r="E15" s="63" t="n">
        <x:v>5.581641499999999</x:v>
      </x:c>
      <x:c r="F15" s="66" t="n">
        <x:v>0</x:v>
      </x:c>
      <x:c r="G15" s="66" t="n">
        <x:v>3.1807023087245046e-20</x:v>
      </x:c>
      <x:c r="H15" s="69" t="n">
        <x:v>0.18818974347588158</x:v>
      </x:c>
      <x:c r="I15" s="57" t="str">
        <x:v>return percentage points per original round</x:v>
      </x:c>
      <x:c r="J15" s="78"/>
      <x:c r="K15" s="78"/>
      <x:c r="L15" s="78"/>
      <x:c r="M15" s="78"/>
      <x:c r="N15" s="78"/>
    </x:row>
    <x:row r="16">
      <x:c r="A16" s="51" t="str">
        <x:v>Inventory</x:v>
      </x:c>
      <x:c r="B16" s="57" t="str">
        <x:v>Optimized order threshold Q=21</x:v>
      </x:c>
      <x:c r="C16" s="57" t="str">
        <x:v>Naive order threshold Q=20</x:v>
      </x:c>
      <x:c r="D16" s="54" t="n">
        <x:v>25</x:v>
      </x:c>
      <x:c r="E16" s="63" t="n">
        <x:v>1.1622400000000002</x:v>
      </x:c>
      <x:c r="F16" s="66" t="n">
        <x:v>0.1564</x:v>
      </x:c>
      <x:c r="G16" s="66" t="n">
        <x:v>0.20230835731769153</x:v>
      </x:c>
      <x:c r="H16" s="69" t="n">
        <x:v>0.957555316289853</x:v>
      </x:c>
      <x:c r="I16" s="57" t="str">
        <x:v>profit units per period</x:v>
      </x:c>
      <x:c r="J16" s="78"/>
      <x:c r="K16" s="78"/>
      <x:c r="L16" s="78"/>
      <x:c r="M16" s="78"/>
      <x:c r="N16" s="78"/>
    </x:row>
    <x:row r="17">
      <x:c r="A17" s="51" t="str">
        <x:v>Inventory</x:v>
      </x:c>
      <x:c r="B17" s="57" t="str">
        <x:v>Optimized order threshold Q=21</x:v>
      </x:c>
      <x:c r="C17" s="57" t="str">
        <x:v>Naive order threshold Q=20</x:v>
      </x:c>
      <x:c r="D17" s="54" t="n">
        <x:v>50</x:v>
      </x:c>
      <x:c r="E17" s="63" t="n">
        <x:v>1.1713120000000001</x:v>
      </x:c>
      <x:c r="F17" s="66" t="n">
        <x:v>0.1009</x:v>
      </x:c>
      <x:c r="G17" s="66" t="n">
        <x:v>0.11812410866798273</x:v>
      </x:c>
      <x:c r="H17" s="69" t="n">
        <x:v>0.9570682062336453</x:v>
      </x:c>
      <x:c r="I17" s="57" t="str">
        <x:v>profit units per period</x:v>
      </x:c>
      <x:c r="J17" s="78"/>
      <x:c r="K17" s="78"/>
      <x:c r="L17" s="78"/>
      <x:c r="M17" s="78"/>
      <x:c r="N17" s="78"/>
    </x:row>
    <x:row r="18">
      <x:c r="A18" s="51" t="str">
        <x:v>Inventory</x:v>
      </x:c>
      <x:c r="B18" s="57" t="str">
        <x:v>Optimized order threshold Q=21</x:v>
      </x:c>
      <x:c r="C18" s="57" t="str">
        <x:v>Naive order threshold Q=20</x:v>
      </x:c>
      <x:c r="D18" s="54" t="n">
        <x:v>100</x:v>
      </x:c>
      <x:c r="E18" s="63" t="n">
        <x:v>1.160504</x:v>
      </x:c>
      <x:c r="F18" s="66" t="n">
        <x:v>0.04</x:v>
      </x:c>
      <x:c r="G18" s="66" t="n">
        <x:v>0.04649518833875384</x:v>
      </x:c>
      <x:c r="H18" s="69" t="n">
        <x:v>0.9567418547022006</x:v>
      </x:c>
      <x:c r="I18" s="57" t="str">
        <x:v>profit units per period</x:v>
      </x:c>
      <x:c r="J18" s="78"/>
      <x:c r="K18" s="78"/>
      <x:c r="L18" s="78"/>
      <x:c r="M18" s="78"/>
      <x:c r="N18" s="78"/>
    </x:row>
    <x:row r="19">
      <x:c r="A19" s="51" t="str">
        <x:v>Inventory</x:v>
      </x:c>
      <x:c r="B19" s="57" t="str">
        <x:v>Optimized order threshold Q=21</x:v>
      </x:c>
      <x:c r="C19" s="57" t="str">
        <x:v>Naive order threshold Q=20</x:v>
      </x:c>
      <x:c r="D19" s="54" t="n">
        <x:v>250</x:v>
      </x:c>
      <x:c r="E19" s="63" t="n">
        <x:v>1.1719616000000002</x:v>
      </x:c>
      <x:c r="F19" s="66" t="n">
        <x:v>0.004</x:v>
      </x:c>
      <x:c r="G19" s="66" t="n">
        <x:v>0.0037769615418902025</x:v>
      </x:c>
      <x:c r="H19" s="69" t="n">
        <x:v>0.957712617477155</x:v>
      </x:c>
      <x:c r="I19" s="57" t="str">
        <x:v>profit units per period</x:v>
      </x:c>
      <x:c r="J19" s="78"/>
      <x:c r="K19" s="78"/>
      <x:c r="L19" s="78"/>
      <x:c r="M19" s="78"/>
      <x:c r="N19" s="78"/>
    </x:row>
    <x:row r="20">
      <x:c r="A20" s="51" t="str">
        <x:v>Inventory</x:v>
      </x:c>
      <x:c r="B20" s="57" t="str">
        <x:v>Optimized order threshold Q=21</x:v>
      </x:c>
      <x:c r="C20" s="57" t="str">
        <x:v>Naive order threshold Q=20</x:v>
      </x:c>
      <x:c r="D20" s="54" t="n">
        <x:v>500</x:v>
      </x:c>
      <x:c r="E20" s="63" t="n">
        <x:v>1.1711748</x:v>
      </x:c>
      <x:c r="F20" s="66" t="n">
        <x:v>0.0001</x:v>
      </x:c>
      <x:c r="G20" s="66" t="n">
        <x:v>0.00008215055044930807</x:v>
      </x:c>
      <x:c r="H20" s="69" t="n">
        <x:v>0.9582413739016625</x:v>
      </x:c>
      <x:c r="I20" s="57" t="str">
        <x:v>profit units per period</x:v>
      </x:c>
      <x:c r="J20" s="78"/>
      <x:c r="K20" s="78"/>
      <x:c r="L20" s="78"/>
      <x:c r="M20" s="78"/>
      <x:c r="N20" s="78"/>
    </x:row>
    <x:row r="21">
      <x:c r="A21" s="51" t="str">
        <x:v>Inventory</x:v>
      </x:c>
      <x:c r="B21" s="57" t="str">
        <x:v>Optimized order threshold Q=21</x:v>
      </x:c>
      <x:c r="C21" s="57" t="str">
        <x:v>Naive order threshold Q=20</x:v>
      </x:c>
      <x:c r="D21" s="54" t="n">
        <x:v>1000</x:v>
      </x:c>
      <x:c r="E21" s="63" t="n">
        <x:v>1.170675</x:v>
      </x:c>
      <x:c r="F21" s="66" t="n">
        <x:v>0</x:v>
      </x:c>
      <x:c r="G21" s="66" t="n">
        <x:v>8.236169836892914e-8</x:v>
      </x:c>
      <x:c r="H21" s="69" t="n">
        <x:v>0.9557459564767017</x:v>
      </x:c>
      <x:c r="I21" s="57" t="str">
        <x:v>profit units per period</x:v>
      </x:c>
      <x:c r="J21" s="78"/>
      <x:c r="K21" s="78"/>
      <x:c r="L21" s="78"/>
      <x:c r="M21" s="78"/>
      <x:c r="N21" s="78"/>
    </x:row>
    <x:row r="22">
      <x:c r="A22" s="51" t="str">
        <x:v>Inventory</x:v>
      </x:c>
      <x:c r="B22" s="57" t="str">
        <x:v>Optimized order threshold Q=21</x:v>
      </x:c>
      <x:c r="C22" s="57" t="str">
        <x:v>Naive order threshold Q=20</x:v>
      </x:c>
      <x:c r="D22" s="54" t="n">
        <x:v>2500</x:v>
      </x:c>
      <x:c r="E22" s="63" t="n">
        <x:v>1.1707738399999998</x:v>
      </x:c>
      <x:c r="F22" s="66" t="n">
        <x:v>0</x:v>
      </x:c>
      <x:c r="G22" s="66" t="n">
        <x:v>4.1150208080117155e-17</x:v>
      </x:c>
      <x:c r="H22" s="69" t="n">
        <x:v>0.9561913253645701</x:v>
      </x:c>
      <x:c r="I22" s="57" t="str">
        <x:v>profit units per period</x:v>
      </x:c>
      <x:c r="J22" s="78"/>
      <x:c r="K22" s="71" t="str">
        <x:v>Sample size</x:v>
      </x:c>
      <x:c r="L22" s="71" t="str">
        <x:v>Blackjack</x:v>
      </x:c>
      <x:c r="M22" s="71" t="str">
        <x:v>Inventory</x:v>
      </x:c>
      <x:c r="N22" s="71" t="str">
        <x:v>Queue</x:v>
      </x:c>
    </x:row>
    <x:row r="23">
      <x:c r="A23" s="51" t="str">
        <x:v>Inventory</x:v>
      </x:c>
      <x:c r="B23" s="57" t="str">
        <x:v>Optimized order threshold Q=21</x:v>
      </x:c>
      <x:c r="C23" s="57" t="str">
        <x:v>Naive order threshold Q=20</x:v>
      </x:c>
      <x:c r="D23" s="54" t="n">
        <x:v>5000</x:v>
      </x:c>
      <x:c r="E23" s="63" t="n">
        <x:v>1.17239896</x:v>
      </x:c>
      <x:c r="F23" s="66" t="n">
        <x:v>0</x:v>
      </x:c>
      <x:c r="G23" s="66" t="n">
        <x:v>2.0161047420186477e-32</x:v>
      </x:c>
      <x:c r="H23" s="69" t="n">
        <x:v>0.9557685913215761</x:v>
      </x:c>
      <x:c r="I23" s="57" t="str">
        <x:v>profit units per period</x:v>
      </x:c>
      <x:c r="J23" s="78"/>
      <x:c r="K23" s="78" t="n">
        <x:v>25</x:v>
      </x:c>
      <x:c r="L23" s="84" t="n">
        <x:v>0.3965</x:v>
      </x:c>
      <x:c r="M23" s="84" t="n">
        <x:v>0.1564</x:v>
      </x:c>
      <x:c r="N23" s="84" t="n">
        <x:v>0.0038</x:v>
      </x:c>
    </x:row>
    <x:row r="24">
      <x:c r="A24" s="51" t="str">
        <x:v>Inventory</x:v>
      </x:c>
      <x:c r="B24" s="57" t="str">
        <x:v>Optimized order threshold Q=21</x:v>
      </x:c>
      <x:c r="C24" s="57" t="str">
        <x:v>Naive order threshold Q=20</x:v>
      </x:c>
      <x:c r="D24" s="54" t="n">
        <x:v>10000</x:v>
      </x:c>
      <x:c r="E24" s="63" t="n">
        <x:v>1.1733035</x:v>
      </x:c>
      <x:c r="F24" s="66" t="n">
        <x:v>0</x:v>
      </x:c>
      <x:c r="G24" s="66" t="n">
        <x:v>5.869388749139161e-64</x:v>
      </x:c>
      <x:c r="H24" s="69" t="n">
        <x:v>0.9563513643983461</x:v>
      </x:c>
      <x:c r="I24" s="57" t="str">
        <x:v>profit units per period</x:v>
      </x:c>
      <x:c r="J24" s="78"/>
      <x:c r="K24" s="78" t="n">
        <x:v>50</x:v>
      </x:c>
      <x:c r="L24" s="84" t="n">
        <x:v>0.3674</x:v>
      </x:c>
      <x:c r="M24" s="84" t="n">
        <x:v>0.1009</x:v>
      </x:c>
      <x:c r="N24" s="84" t="n">
        <x:v>0.0001</x:v>
      </x:c>
    </x:row>
    <x:row r="25">
      <x:c r="A25" s="51" t="str">
        <x:v>Inventory</x:v>
      </x:c>
      <x:c r="B25" s="57" t="str">
        <x:v>Optimized order threshold Q=21</x:v>
      </x:c>
      <x:c r="C25" s="57" t="str">
        <x:v>Naive order threshold Q=20</x:v>
      </x:c>
      <x:c r="D25" s="54" t="n">
        <x:v>25000</x:v>
      </x:c>
      <x:c r="E25" s="63" t="n">
        <x:v>1.1725651119999998</x:v>
      </x:c>
      <x:c r="F25" s="66" t="n">
        <x:v>0</x:v>
      </x:c>
      <x:c r="G25" s="66" t="n">
        <x:v>4.162940168967753e-155</x:v>
      </x:c>
      <x:c r="H25" s="69" t="n">
        <x:v>0.9574035344809522</x:v>
      </x:c>
      <x:c r="I25" s="57" t="str">
        <x:v>profit units per period</x:v>
      </x:c>
      <x:c r="J25" s="78"/>
      <x:c r="K25" s="78" t="n">
        <x:v>100</x:v>
      </x:c>
      <x:c r="L25" s="84" t="n">
        <x:v>0.3329</x:v>
      </x:c>
      <x:c r="M25" s="84" t="n">
        <x:v>0.04</x:v>
      </x:c>
      <x:c r="N25" s="84" t="n">
        <x:v>0</x:v>
      </x:c>
    </x:row>
    <x:row r="26">
      <x:c r="A26" s="51" t="str">
        <x:v>Inventory</x:v>
      </x:c>
      <x:c r="B26" s="57" t="str">
        <x:v>Optimized order threshold Q=21</x:v>
      </x:c>
      <x:c r="C26" s="57" t="str">
        <x:v>Naive order threshold Q=20</x:v>
      </x:c>
      <x:c r="D26" s="54" t="n">
        <x:v>50000</x:v>
      </x:c>
      <x:c r="E26" s="63" t="n">
        <x:v>1.1727159759999999</x:v>
      </x:c>
      <x:c r="F26" s="66" t="n">
        <x:v>0</x:v>
      </x:c>
      <x:c r="G26" s="66" t="n">
        <x:v>2.33854101046317e-310</x:v>
      </x:c>
      <x:c r="H26" s="69" t="n">
        <x:v>0.9563745756246409</x:v>
      </x:c>
      <x:c r="I26" s="57" t="str">
        <x:v>profit units per period</x:v>
      </x:c>
      <x:c r="J26" s="78"/>
      <x:c r="K26" s="78" t="n">
        <x:v>250</x:v>
      </x:c>
      <x:c r="L26" s="84" t="n">
        <x:v>0.2552</x:v>
      </x:c>
      <x:c r="M26" s="84" t="n">
        <x:v>0.004</x:v>
      </x:c>
      <x:c r="N26" s="84" t="n">
        <x:v>0</x:v>
      </x:c>
    </x:row>
    <x:row r="27">
      <x:c r="A27" s="51" t="str">
        <x:v>Queue</x:v>
      </x:c>
      <x:c r="B27" s="57" t="str">
        <x:v>Shortest-queue assignment</x:v>
      </x:c>
      <x:c r="C27" s="57" t="str">
        <x:v>Random assignment</x:v>
      </x:c>
      <x:c r="D27" s="54" t="n">
        <x:v>25</x:v>
      </x:c>
      <x:c r="E27" s="63" t="n">
        <x:v>2.2823439999999997</x:v>
      </x:c>
      <x:c r="F27" s="66" t="n">
        <x:v>0.0038</x:v>
      </x:c>
      <x:c r="G27" s="66" t="n">
        <x:v>0.00903230498685375</x:v>
      </x:c>
      <x:c r="H27" s="69" t="n">
        <x:v>0.4384681609723379</x:v>
      </x:c>
      <x:c r="I27" s="57" t="str">
        <x:v>negative completion-time slots per job</x:v>
      </x:c>
      <x:c r="J27" s="78"/>
      <x:c r="K27" s="78" t="n">
        <x:v>500</x:v>
      </x:c>
      <x:c r="L27" s="84" t="n">
        <x:v>0.1737</x:v>
      </x:c>
      <x:c r="M27" s="84" t="n">
        <x:v>0.0001</x:v>
      </x:c>
      <x:c r="N27" s="84" t="n">
        <x:v>0</x:v>
      </x:c>
    </x:row>
    <x:row r="28">
      <x:c r="A28" s="51" t="str">
        <x:v>Queue</x:v>
      </x:c>
      <x:c r="B28" s="57" t="str">
        <x:v>Shortest-queue assignment</x:v>
      </x:c>
      <x:c r="C28" s="57" t="str">
        <x:v>Random assignment</x:v>
      </x:c>
      <x:c r="D28" s="54" t="n">
        <x:v>50</x:v>
      </x:c>
      <x:c r="E28" s="63" t="n">
        <x:v>2.270972</x:v>
      </x:c>
      <x:c r="F28" s="66" t="n">
        <x:v>0.0001</x:v>
      </x:c>
      <x:c r="G28" s="66" t="n">
        <x:v>0.0004035097632355217</x:v>
      </x:c>
      <x:c r="H28" s="69" t="n">
        <x:v>0.44920841228248454</x:v>
      </x:c>
      <x:c r="I28" s="57" t="str">
        <x:v>negative completion-time slots per job</x:v>
      </x:c>
      <x:c r="J28" s="78"/>
      <x:c r="K28" s="78" t="n">
        <x:v>1000</x:v>
      </x:c>
      <x:c r="L28" s="84" t="n">
        <x:v>0.0922</x:v>
      </x:c>
      <x:c r="M28" s="84" t="n">
        <x:v>0</x:v>
      </x:c>
      <x:c r="N28" s="84" t="n">
        <x:v>0</x:v>
      </x:c>
    </x:row>
    <x:row r="29">
      <x:c r="A29" s="51" t="str">
        <x:v>Queue</x:v>
      </x:c>
      <x:c r="B29" s="57" t="str">
        <x:v>Shortest-queue assignment</x:v>
      </x:c>
      <x:c r="C29" s="57" t="str">
        <x:v>Random assignment</x:v>
      </x:c>
      <x:c r="D29" s="54" t="n">
        <x:v>100</x:v>
      </x:c>
      <x:c r="E29" s="63" t="n">
        <x:v>2.283083</x:v>
      </x:c>
      <x:c r="F29" s="66" t="n">
        <x:v>0</x:v>
      </x:c>
      <x:c r="G29" s="66" t="n">
        <x:v>9.974267355963896e-7</x:v>
      </x:c>
      <x:c r="H29" s="69" t="n">
        <x:v>0.43438164778839083</x:v>
      </x:c>
      <x:c r="I29" s="57" t="str">
        <x:v>negative completion-time slots per job</x:v>
      </x:c>
      <x:c r="J29" s="78"/>
      <x:c r="K29" s="78" t="n">
        <x:v>2500</x:v>
      </x:c>
      <x:c r="L29" s="84" t="n">
        <x:v>0.02</x:v>
      </x:c>
      <x:c r="M29" s="84" t="n">
        <x:v>0</x:v>
      </x:c>
      <x:c r="N29" s="84" t="n">
        <x:v>0</x:v>
      </x:c>
    </x:row>
    <x:row r="30">
      <x:c r="A30" s="51" t="str">
        <x:v>Queue</x:v>
      </x:c>
      <x:c r="B30" s="57" t="str">
        <x:v>Shortest-queue assignment</x:v>
      </x:c>
      <x:c r="C30" s="57" t="str">
        <x:v>Random assignment</x:v>
      </x:c>
      <x:c r="D30" s="54" t="n">
        <x:v>250</x:v>
      </x:c>
      <x:c r="E30" s="63" t="n">
        <x:v>2.2745476000000004</x:v>
      </x:c>
      <x:c r="F30" s="66" t="n">
        <x:v>0</x:v>
      </x:c>
      <x:c r="G30" s="66" t="n">
        <x:v>5.1874778275021633e-14</x:v>
      </x:c>
      <x:c r="H30" s="69" t="n">
        <x:v>0.4337585285750055</x:v>
      </x:c>
      <x:c r="I30" s="57" t="str">
        <x:v>negative completion-time slots per job</x:v>
      </x:c>
      <x:c r="J30" s="78"/>
      <x:c r="K30" s="78" t="n">
        <x:v>5000</x:v>
      </x:c>
      <x:c r="L30" s="84" t="n">
        <x:v>0.0019</x:v>
      </x:c>
      <x:c r="M30" s="84" t="n">
        <x:v>0</x:v>
      </x:c>
      <x:c r="N30" s="84" t="n">
        <x:v>0</x:v>
      </x:c>
    </x:row>
    <x:row r="31">
      <x:c r="A31" s="51" t="str">
        <x:v>Queue</x:v>
      </x:c>
      <x:c r="B31" s="57" t="str">
        <x:v>Shortest-queue assignment</x:v>
      </x:c>
      <x:c r="C31" s="57" t="str">
        <x:v>Random assignment</x:v>
      </x:c>
      <x:c r="D31" s="54" t="n">
        <x:v>500</x:v>
      </x:c>
      <x:c r="E31" s="63" t="n">
        <x:v>2.2726756</x:v>
      </x:c>
      <x:c r="F31" s="66" t="n">
        <x:v>0</x:v>
      </x:c>
      <x:c r="G31" s="66" t="n">
        <x:v>1.9121631988183446e-26</x:v>
      </x:c>
      <x:c r="H31" s="69" t="n">
        <x:v>0.44474215525114025</x:v>
      </x:c>
      <x:c r="I31" s="57" t="str">
        <x:v>negative completion-time slots per job</x:v>
      </x:c>
      <x:c r="J31" s="78"/>
      <x:c r="K31" s="78" t="n">
        <x:v>10000</x:v>
      </x:c>
      <x:c r="L31" s="84" t="n">
        <x:v>0</x:v>
      </x:c>
      <x:c r="M31" s="84" t="n">
        <x:v>0</x:v>
      </x:c>
      <x:c r="N31" s="84" t="n">
        <x:v>0</x:v>
      </x:c>
    </x:row>
    <x:row r="32">
      <x:c r="A32" s="51" t="str">
        <x:v>Queue</x:v>
      </x:c>
      <x:c r="B32" s="57" t="str">
        <x:v>Shortest-queue assignment</x:v>
      </x:c>
      <x:c r="C32" s="57" t="str">
        <x:v>Random assignment</x:v>
      </x:c>
      <x:c r="D32" s="54" t="n">
        <x:v>1000</x:v>
      </x:c>
      <x:c r="E32" s="63" t="n">
        <x:v>2.2765245000000003</x:v>
      </x:c>
      <x:c r="F32" s="66" t="n">
        <x:v>0</x:v>
      </x:c>
      <x:c r="G32" s="66" t="n">
        <x:v>2.76303351403034e-51</x:v>
      </x:c>
      <x:c r="H32" s="69" t="n">
        <x:v>0.4479642190313413</x:v>
      </x:c>
      <x:c r="I32" s="57" t="str">
        <x:v>negative completion-time slots per job</x:v>
      </x:c>
      <x:c r="J32" s="78"/>
      <x:c r="K32" s="78" t="n">
        <x:v>25000</x:v>
      </x:c>
      <x:c r="L32" s="84" t="n">
        <x:v>0</x:v>
      </x:c>
      <x:c r="M32" s="84" t="n">
        <x:v>0</x:v>
      </x:c>
      <x:c r="N32" s="84" t="n">
        <x:v>0</x:v>
      </x:c>
    </x:row>
    <x:row r="33">
      <x:c r="A33" s="51" t="str">
        <x:v>Queue</x:v>
      </x:c>
      <x:c r="B33" s="57" t="str">
        <x:v>Shortest-queue assignment</x:v>
      </x:c>
      <x:c r="C33" s="57" t="str">
        <x:v>Random assignment</x:v>
      </x:c>
      <x:c r="D33" s="54" t="n">
        <x:v>2500</x:v>
      </x:c>
      <x:c r="E33" s="63" t="n">
        <x:v>2.2751952400000004</x:v>
      </x:c>
      <x:c r="F33" s="66" t="n">
        <x:v>0</x:v>
      </x:c>
      <x:c r="G33" s="66" t="n">
        <x:v>1.4256433534615437e-124</x:v>
      </x:c>
      <x:c r="H33" s="69" t="n">
        <x:v>0.4346307489235357</x:v>
      </x:c>
      <x:c r="I33" s="57" t="str">
        <x:v>negative completion-time slots per job</x:v>
      </x:c>
      <x:c r="J33" s="78"/>
      <x:c r="K33" s="78" t="n">
        <x:v>50000</x:v>
      </x:c>
      <x:c r="L33" s="84" t="n">
        <x:v>0</x:v>
      </x:c>
      <x:c r="M33" s="84" t="n">
        <x:v>0</x:v>
      </x:c>
      <x:c r="N33" s="84" t="n">
        <x:v>0</x:v>
      </x:c>
    </x:row>
    <x:row r="34">
      <x:c r="A34" s="51" t="str">
        <x:v>Queue</x:v>
      </x:c>
      <x:c r="B34" s="57" t="str">
        <x:v>Shortest-queue assignment</x:v>
      </x:c>
      <x:c r="C34" s="57" t="str">
        <x:v>Random assignment</x:v>
      </x:c>
      <x:c r="D34" s="54" t="n">
        <x:v>5000</x:v>
      </x:c>
      <x:c r="E34" s="63" t="n">
        <x:v>2.27597498</x:v>
      </x:c>
      <x:c r="F34" s="66" t="n">
        <x:v>0</x:v>
      </x:c>
      <x:c r="G34" s="66" t="n">
        <x:v>3.164721803284696e-238</x:v>
      </x:c>
      <x:c r="H34" s="69" t="n">
        <x:v>0.4300899375264253</x:v>
      </x:c>
      <x:c r="I34" s="57" t="str">
        <x:v>negative completion-time slots per job</x:v>
      </x:c>
      <x:c r="J34" s="78"/>
      <x:c r="K34" s="78"/>
      <x:c r="L34" s="78"/>
      <x:c r="M34" s="78"/>
      <x:c r="N34" s="78"/>
    </x:row>
    <x:row r="35">
      <x:c r="A35" s="51" t="str">
        <x:v>Queue</x:v>
      </x:c>
      <x:c r="B35" s="57" t="str">
        <x:v>Shortest-queue assignment</x:v>
      </x:c>
      <x:c r="C35" s="57" t="str">
        <x:v>Random assignment</x:v>
      </x:c>
      <x:c r="D35" s="54" t="n">
        <x:v>10000</x:v>
      </x:c>
      <x:c r="E35" s="63" t="n">
        <x:v>2.27459778</x:v>
      </x:c>
      <x:c r="F35" s="66" t="n">
        <x:v>0</x:v>
      </x:c>
      <x:c r="G35" s="66" t="n">
        <x:v>0</x:v>
      </x:c>
      <x:c r="H35" s="69" t="n">
        <x:v>0.4373769481442721</x:v>
      </x:c>
      <x:c r="I35" s="57" t="str">
        <x:v>negative completion-time slots per job</x:v>
      </x:c>
      <x:c r="J35" s="78"/>
      <x:c r="K35" s="78"/>
      <x:c r="L35" s="78"/>
      <x:c r="M35" s="78"/>
      <x:c r="N35" s="78"/>
    </x:row>
    <x:row r="36">
      <x:c r="A36" s="51" t="str">
        <x:v>Queue</x:v>
      </x:c>
      <x:c r="B36" s="57" t="str">
        <x:v>Shortest-queue assignment</x:v>
      </x:c>
      <x:c r="C36" s="57" t="str">
        <x:v>Random assignment</x:v>
      </x:c>
      <x:c r="D36" s="54" t="n">
        <x:v>25000</x:v>
      </x:c>
      <x:c r="E36" s="63" t="n">
        <x:v>2.275170092</x:v>
      </x:c>
      <x:c r="F36" s="66" t="n">
        <x:v>0</x:v>
      </x:c>
      <x:c r="G36" s="66" t="n">
        <x:v>0</x:v>
      </x:c>
      <x:c r="H36" s="69" t="n">
        <x:v>0.4515877274126918</x:v>
      </x:c>
      <x:c r="I36" s="57" t="str">
        <x:v>negative completion-time slots per job</x:v>
      </x:c>
      <x:c r="J36" s="78"/>
      <x:c r="K36" s="78"/>
      <x:c r="L36" s="78"/>
      <x:c r="M36" s="78"/>
      <x:c r="N36" s="78"/>
    </x:row>
    <x:row r="37">
      <x:c r="A37" s="52" t="str">
        <x:v>Queue</x:v>
      </x:c>
      <x:c r="B37" s="58" t="str">
        <x:v>Shortest-queue assignment</x:v>
      </x:c>
      <x:c r="C37" s="58" t="str">
        <x:v>Random assignment</x:v>
      </x:c>
      <x:c r="D37" s="55" t="n">
        <x:v>50000</x:v>
      </x:c>
      <x:c r="E37" s="64" t="n">
        <x:v>2.275255204</x:v>
      </x:c>
      <x:c r="F37" s="67" t="n">
        <x:v>0</x:v>
      </x:c>
      <x:c r="G37" s="67" t="n">
        <x:v>0</x:v>
      </x:c>
      <x:c r="H37" s="70" t="n">
        <x:v>0.4440524415768007</x:v>
      </x:c>
      <x:c r="I37" s="58" t="str">
        <x:v>negative completion-time slots per job</x:v>
      </x:c>
      <x:c r="J37" s="78"/>
      <x:c r="K37" s="78"/>
      <x:c r="L37" s="78"/>
      <x:c r="M37" s="78"/>
      <x:c r="N37" s="78"/>
    </x:row>
  </x:sheetData>
  <x:mergeCells>
    <x:mergeCell ref="A2:M2"/>
  </x:mergeCells>
  <x:pageMargins left="0.7" right="0.7" top="0.75" bottom="0.75" header="0.3" footer="0.3"/>
  <x:drawing xmlns:r="http://schemas.openxmlformats.org/officeDocument/2006/relationships" r:id="R893b64f6c9f14e08"/>
  <x:tableParts count="1">
    <x:tablePart xmlns:r="http://schemas.openxmlformats.org/officeDocument/2006/relationships" r:id="R3afce172fd134c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3" hidden="0" customWidth="1"/>
    <x:col min="4" max="4" width="17" hidden="0" customWidth="1"/>
    <x:col min="5" max="5" width="17" hidden="0" customWidth="1"/>
    <x:col min="6" max="6" width="20" hidden="0" customWidth="1"/>
  </x:cols>
  <x:sheetData>
    <x:row r="1" ht="25" customHeight="1">
      <x:c r="A1" s="2" t="str">
        <x:v>Required sample sizes</x:v>
      </x:c>
      <x:c r="B1" s="77"/>
      <x:c r="C1" s="77"/>
      <x:c r="D1" s="77"/>
      <x:c r="E1" s="77"/>
      <x:c r="F1" s="78"/>
    </x:row>
    <x:row r="2" ht="22" customHeight="1">
      <x:c r="A2" s="4" t="str">
        <x:v>Normal-approximation sample sizes derived from the long-run mean difference and effective per-round standard deviation.</x:v>
      </x:c>
      <x:c r="B2" s="4"/>
      <x:c r="C2" s="4"/>
      <x:c r="D2" s="4"/>
      <x:c r="E2" s="4"/>
      <x:c r="F2" s="78"/>
    </x:row>
    <x:row r="3">
      <x:c r="A3" s="78"/>
      <x:c r="B3" s="78"/>
      <x:c r="C3" s="78"/>
      <x:c r="D3" s="78"/>
      <x:c r="E3" s="78"/>
      <x:c r="F3" s="78"/>
    </x:row>
    <x:row r="4">
      <x:c r="A4" s="43" t="str">
        <x:v>Target reversal risk</x:v>
      </x:c>
      <x:c r="B4" s="44" t="str">
        <x:v>Design</x:v>
      </x:c>
      <x:c r="C4" s="44" t="str">
        <x:v>Mean difference (pp)</x:v>
      </x:c>
      <x:c r="D4" s="44" t="str">
        <x:v>Effective SD (pp)</x:v>
      </x:c>
      <x:c r="E4" s="45" t="str">
        <x:v>Required sample size</x:v>
      </x:c>
      <x:c r="F4" s="78"/>
    </x:row>
    <x:row r="5">
      <x:c r="A5" s="68" t="n">
        <x:v>0.1</x:v>
      </x:c>
      <x:c r="B5" s="50" t="str">
        <x:v>Paired</x:v>
      </x:c>
      <x:c r="C5" s="62" t="n">
        <x:v>5.582893243243243</x:v>
      </x:c>
      <x:c r="D5" s="62" t="n">
        <x:v>135.90874819239386</x:v>
      </x:c>
      <x:c r="E5" s="53" t="n">
        <x:v>974</x:v>
      </x:c>
      <x:c r="F5" s="78"/>
    </x:row>
    <x:row r="6">
      <x:c r="A6" s="69" t="n">
        <x:v>0.1</x:v>
      </x:c>
      <x:c r="B6" s="51" t="str">
        <x:v>Unpaired</x:v>
      </x:c>
      <x:c r="C6" s="63" t="n">
        <x:v>5.582893243243243</x:v>
      </x:c>
      <x:c r="D6" s="63" t="n">
        <x:v>151.27584428984875</x:v>
      </x:c>
      <x:c r="E6" s="54" t="n">
        <x:v>1206</x:v>
      </x:c>
      <x:c r="F6" s="78"/>
    </x:row>
    <x:row r="7">
      <x:c r="A7" s="69" t="n">
        <x:v>0.05</x:v>
      </x:c>
      <x:c r="B7" s="51" t="str">
        <x:v>Paired</x:v>
      </x:c>
      <x:c r="C7" s="63" t="n">
        <x:v>5.582893243243243</x:v>
      </x:c>
      <x:c r="D7" s="63" t="n">
        <x:v>135.90874819239386</x:v>
      </x:c>
      <x:c r="E7" s="54" t="n">
        <x:v>1604</x:v>
      </x:c>
      <x:c r="F7" s="78"/>
    </x:row>
    <x:row r="8">
      <x:c r="A8" s="69" t="n">
        <x:v>0.05</x:v>
      </x:c>
      <x:c r="B8" s="51" t="str">
        <x:v>Unpaired</x:v>
      </x:c>
      <x:c r="C8" s="63" t="n">
        <x:v>5.582893243243243</x:v>
      </x:c>
      <x:c r="D8" s="63" t="n">
        <x:v>151.27584428984875</x:v>
      </x:c>
      <x:c r="E8" s="54" t="n">
        <x:v>1987</x:v>
      </x:c>
      <x:c r="F8" s="78"/>
    </x:row>
    <x:row r="9">
      <x:c r="A9" s="69" t="n">
        <x:v>0.01</x:v>
      </x:c>
      <x:c r="B9" s="51" t="str">
        <x:v>Paired</x:v>
      </x:c>
      <x:c r="C9" s="63" t="n">
        <x:v>5.582893243243243</x:v>
      </x:c>
      <x:c r="D9" s="63" t="n">
        <x:v>135.90874819239386</x:v>
      </x:c>
      <x:c r="E9" s="54" t="n">
        <x:v>3208</x:v>
      </x:c>
      <x:c r="F9" s="78"/>
    </x:row>
    <x:row r="10">
      <x:c r="A10" s="69" t="n">
        <x:v>0.01</x:v>
      </x:c>
      <x:c r="B10" s="51" t="str">
        <x:v>Unpaired</x:v>
      </x:c>
      <x:c r="C10" s="63" t="n">
        <x:v>5.582893243243243</x:v>
      </x:c>
      <x:c r="D10" s="63" t="n">
        <x:v>151.27584428984875</x:v>
      </x:c>
      <x:c r="E10" s="54" t="n">
        <x:v>3974</x:v>
      </x:c>
      <x:c r="F10" s="78"/>
    </x:row>
    <x:row r="11">
      <x:c r="A11" s="69" t="n">
        <x:v>0.005</x:v>
      </x:c>
      <x:c r="B11" s="51" t="str">
        <x:v>Paired</x:v>
      </x:c>
      <x:c r="C11" s="63" t="n">
        <x:v>5.582893243243243</x:v>
      </x:c>
      <x:c r="D11" s="63" t="n">
        <x:v>135.90874819239386</x:v>
      </x:c>
      <x:c r="E11" s="54" t="n">
        <x:v>3932</x:v>
      </x:c>
      <x:c r="F11" s="78"/>
    </x:row>
    <x:row r="12">
      <x:c r="A12" s="69" t="n">
        <x:v>0.005</x:v>
      </x:c>
      <x:c r="B12" s="51" t="str">
        <x:v>Unpaired</x:v>
      </x:c>
      <x:c r="C12" s="63" t="n">
        <x:v>5.582893243243243</x:v>
      </x:c>
      <x:c r="D12" s="63" t="n">
        <x:v>151.27584428984875</x:v>
      </x:c>
      <x:c r="E12" s="54" t="n">
        <x:v>4872</x:v>
      </x:c>
      <x:c r="F12" s="78"/>
    </x:row>
    <x:row r="13">
      <x:c r="A13" s="69" t="n">
        <x:v>0.001</x:v>
      </x:c>
      <x:c r="B13" s="51" t="str">
        <x:v>Paired</x:v>
      </x:c>
      <x:c r="C13" s="63" t="n">
        <x:v>5.582893243243243</x:v>
      </x:c>
      <x:c r="D13" s="63" t="n">
        <x:v>135.90874819239386</x:v>
      </x:c>
      <x:c r="E13" s="54" t="n">
        <x:v>5660</x:v>
      </x:c>
      <x:c r="F13" s="78"/>
    </x:row>
    <x:row r="14">
      <x:c r="A14" s="70" t="n">
        <x:v>0.001</x:v>
      </x:c>
      <x:c r="B14" s="52" t="str">
        <x:v>Unpaired</x:v>
      </x:c>
      <x:c r="C14" s="64" t="n">
        <x:v>5.582893243243243</x:v>
      </x:c>
      <x:c r="D14" s="64" t="n">
        <x:v>151.27584428984875</x:v>
      </x:c>
      <x:c r="E14" s="55" t="n">
        <x:v>7012</x:v>
      </x:c>
      <x:c r="F14" s="78"/>
    </x:row>
    <x:row r="15">
      <x:c r="A15" s="78"/>
      <x:c r="B15" s="78"/>
      <x:c r="C15" s="78"/>
      <x:c r="D15" s="78"/>
      <x:c r="E15" s="78"/>
      <x:c r="F15" s="78"/>
    </x:row>
    <x:row r="16">
      <x:c r="A16" s="78"/>
      <x:c r="B16" s="78"/>
      <x:c r="C16" s="78"/>
      <x:c r="D16" s="78"/>
      <x:c r="E16" s="78"/>
      <x:c r="F16" s="78"/>
    </x:row>
    <x:row r="17">
      <x:c r="A17" s="74" t="str">
        <x:v>Cross-domain required sample sizes</x:v>
      </x:c>
      <x:c r="B17" s="75"/>
      <x:c r="C17" s="75"/>
      <x:c r="D17" s="75"/>
      <x:c r="E17" s="75"/>
      <x:c r="F17" s="76"/>
    </x:row>
    <x:row r="18">
      <x:c r="A18" s="43" t="str">
        <x:v>Domain</x:v>
      </x:c>
      <x:c r="B18" s="44" t="str">
        <x:v>Target reversal risk</x:v>
      </x:c>
      <x:c r="C18" s="44" t="str">
        <x:v>Design</x:v>
      </x:c>
      <x:c r="D18" s="44" t="str">
        <x:v>Mean difference</x:v>
      </x:c>
      <x:c r="E18" s="44" t="str">
        <x:v>Effective SD</x:v>
      </x:c>
      <x:c r="F18" s="45" t="str">
        <x:v>Required sample size</x:v>
      </x:c>
    </x:row>
    <x:row r="19">
      <x:c r="A19" s="50" t="str">
        <x:v>Blackjack</x:v>
      </x:c>
      <x:c r="B19" s="68" t="n">
        <x:v>0.1</x:v>
      </x:c>
      <x:c r="C19" s="50" t="str">
        <x:v>Paired</x:v>
      </x:c>
      <x:c r="D19" s="62" t="n">
        <x:v>5.582893243243243</x:v>
      </x:c>
      <x:c r="E19" s="62" t="n">
        <x:v>135.90874819239386</x:v>
      </x:c>
      <x:c r="F19" s="53" t="n">
        <x:v>974</x:v>
      </x:c>
    </x:row>
    <x:row r="20">
      <x:c r="A20" s="51" t="str">
        <x:v>Blackjack</x:v>
      </x:c>
      <x:c r="B20" s="69" t="n">
        <x:v>0.1</x:v>
      </x:c>
      <x:c r="C20" s="51" t="str">
        <x:v>Unpaired</x:v>
      </x:c>
      <x:c r="D20" s="63" t="n">
        <x:v>5.582893243243243</x:v>
      </x:c>
      <x:c r="E20" s="63" t="n">
        <x:v>151.27584428984875</x:v>
      </x:c>
      <x:c r="F20" s="54" t="n">
        <x:v>1206</x:v>
      </x:c>
    </x:row>
    <x:row r="21">
      <x:c r="A21" s="51" t="str">
        <x:v>Blackjack</x:v>
      </x:c>
      <x:c r="B21" s="69" t="n">
        <x:v>0.05</x:v>
      </x:c>
      <x:c r="C21" s="51" t="str">
        <x:v>Paired</x:v>
      </x:c>
      <x:c r="D21" s="63" t="n">
        <x:v>5.582893243243243</x:v>
      </x:c>
      <x:c r="E21" s="63" t="n">
        <x:v>135.90874819239386</x:v>
      </x:c>
      <x:c r="F21" s="54" t="n">
        <x:v>1604</x:v>
      </x:c>
    </x:row>
    <x:row r="22">
      <x:c r="A22" s="51" t="str">
        <x:v>Blackjack</x:v>
      </x:c>
      <x:c r="B22" s="69" t="n">
        <x:v>0.05</x:v>
      </x:c>
      <x:c r="C22" s="51" t="str">
        <x:v>Unpaired</x:v>
      </x:c>
      <x:c r="D22" s="63" t="n">
        <x:v>5.582893243243243</x:v>
      </x:c>
      <x:c r="E22" s="63" t="n">
        <x:v>151.27584428984875</x:v>
      </x:c>
      <x:c r="F22" s="54" t="n">
        <x:v>1987</x:v>
      </x:c>
    </x:row>
    <x:row r="23">
      <x:c r="A23" s="51" t="str">
        <x:v>Blackjack</x:v>
      </x:c>
      <x:c r="B23" s="69" t="n">
        <x:v>0.01</x:v>
      </x:c>
      <x:c r="C23" s="51" t="str">
        <x:v>Paired</x:v>
      </x:c>
      <x:c r="D23" s="63" t="n">
        <x:v>5.582893243243243</x:v>
      </x:c>
      <x:c r="E23" s="63" t="n">
        <x:v>135.90874819239386</x:v>
      </x:c>
      <x:c r="F23" s="54" t="n">
        <x:v>3208</x:v>
      </x:c>
    </x:row>
    <x:row r="24">
      <x:c r="A24" s="51" t="str">
        <x:v>Blackjack</x:v>
      </x:c>
      <x:c r="B24" s="69" t="n">
        <x:v>0.01</x:v>
      </x:c>
      <x:c r="C24" s="51" t="str">
        <x:v>Unpaired</x:v>
      </x:c>
      <x:c r="D24" s="63" t="n">
        <x:v>5.582893243243243</x:v>
      </x:c>
      <x:c r="E24" s="63" t="n">
        <x:v>151.27584428984875</x:v>
      </x:c>
      <x:c r="F24" s="54" t="n">
        <x:v>3974</x:v>
      </x:c>
    </x:row>
    <x:row r="25">
      <x:c r="A25" s="51" t="str">
        <x:v>Inventory</x:v>
      </x:c>
      <x:c r="B25" s="69" t="n">
        <x:v>0.1</x:v>
      </x:c>
      <x:c r="C25" s="51" t="str">
        <x:v>Paired</x:v>
      </x:c>
      <x:c r="D25" s="63" t="n">
        <x:v>1.1726690918918918</x:v>
      </x:c>
      <x:c r="E25" s="63" t="n">
        <x:v>6.994670673053088</x:v>
      </x:c>
      <x:c r="F25" s="54" t="n">
        <x:v>59</x:v>
      </x:c>
    </x:row>
    <x:row r="26">
      <x:c r="A26" s="51" t="str">
        <x:v>Inventory</x:v>
      </x:c>
      <x:c r="B26" s="69" t="n">
        <x:v>0.1</x:v>
      </x:c>
      <x:c r="C26" s="51" t="str">
        <x:v>Unpaired</x:v>
      </x:c>
      <x:c r="D26" s="63" t="n">
        <x:v>1.1726690918918918</x:v>
      </x:c>
      <x:c r="E26" s="63" t="n">
        <x:v>33.41287420761011</x:v>
      </x:c>
      <x:c r="F26" s="54" t="n">
        <x:v>1334</x:v>
      </x:c>
    </x:row>
    <x:row r="27">
      <x:c r="A27" s="51" t="str">
        <x:v>Inventory</x:v>
      </x:c>
      <x:c r="B27" s="69" t="n">
        <x:v>0.05</x:v>
      </x:c>
      <x:c r="C27" s="51" t="str">
        <x:v>Paired</x:v>
      </x:c>
      <x:c r="D27" s="63" t="n">
        <x:v>1.1726690918918918</x:v>
      </x:c>
      <x:c r="E27" s="63" t="n">
        <x:v>6.994670673053088</x:v>
      </x:c>
      <x:c r="F27" s="54" t="n">
        <x:v>97</x:v>
      </x:c>
    </x:row>
    <x:row r="28">
      <x:c r="A28" s="51" t="str">
        <x:v>Inventory</x:v>
      </x:c>
      <x:c r="B28" s="69" t="n">
        <x:v>0.05</x:v>
      </x:c>
      <x:c r="C28" s="51" t="str">
        <x:v>Unpaired</x:v>
      </x:c>
      <x:c r="D28" s="63" t="n">
        <x:v>1.1726690918918918</x:v>
      </x:c>
      <x:c r="E28" s="63" t="n">
        <x:v>33.41287420761011</x:v>
      </x:c>
      <x:c r="F28" s="54" t="n">
        <x:v>2197</x:v>
      </x:c>
    </x:row>
    <x:row r="29">
      <x:c r="A29" s="51" t="str">
        <x:v>Inventory</x:v>
      </x:c>
      <x:c r="B29" s="69" t="n">
        <x:v>0.01</x:v>
      </x:c>
      <x:c r="C29" s="51" t="str">
        <x:v>Paired</x:v>
      </x:c>
      <x:c r="D29" s="63" t="n">
        <x:v>1.1726690918918918</x:v>
      </x:c>
      <x:c r="E29" s="63" t="n">
        <x:v>6.994670673053088</x:v>
      </x:c>
      <x:c r="F29" s="54" t="n">
        <x:v>193</x:v>
      </x:c>
    </x:row>
    <x:row r="30">
      <x:c r="A30" s="51" t="str">
        <x:v>Inventory</x:v>
      </x:c>
      <x:c r="B30" s="69" t="n">
        <x:v>0.01</x:v>
      </x:c>
      <x:c r="C30" s="51" t="str">
        <x:v>Unpaired</x:v>
      </x:c>
      <x:c r="D30" s="63" t="n">
        <x:v>1.1726690918918918</x:v>
      </x:c>
      <x:c r="E30" s="63" t="n">
        <x:v>33.41287420761011</x:v>
      </x:c>
      <x:c r="F30" s="54" t="n">
        <x:v>4394</x:v>
      </x:c>
    </x:row>
    <x:row r="31">
      <x:c r="A31" s="51" t="str">
        <x:v>Queue</x:v>
      </x:c>
      <x:c r="B31" s="69" t="n">
        <x:v>0.1</x:v>
      </x:c>
      <x:c r="C31" s="51" t="str">
        <x:v>Paired</x:v>
      </x:c>
      <x:c r="D31" s="63" t="n">
        <x:v>2.275198414054054</x:v>
      </x:c>
      <x:c r="E31" s="63" t="n">
        <x:v>4.80677890099558</x:v>
      </x:c>
      <x:c r="F31" s="54" t="n">
        <x:v>8</x:v>
      </x:c>
    </x:row>
    <x:row r="32">
      <x:c r="A32" s="51" t="str">
        <x:v>Queue</x:v>
      </x:c>
      <x:c r="B32" s="69" t="n">
        <x:v>0.1</x:v>
      </x:c>
      <x:c r="C32" s="51" t="str">
        <x:v>Unpaired</x:v>
      </x:c>
      <x:c r="D32" s="63" t="n">
        <x:v>2.275198414054054</x:v>
      </x:c>
      <x:c r="E32" s="63" t="n">
        <x:v>6.440448778738559</x:v>
      </x:c>
      <x:c r="F32" s="54" t="n">
        <x:v>14</x:v>
      </x:c>
    </x:row>
    <x:row r="33">
      <x:c r="A33" s="51" t="str">
        <x:v>Queue</x:v>
      </x:c>
      <x:c r="B33" s="69" t="n">
        <x:v>0.05</x:v>
      </x:c>
      <x:c r="C33" s="51" t="str">
        <x:v>Paired</x:v>
      </x:c>
      <x:c r="D33" s="63" t="n">
        <x:v>2.275198414054054</x:v>
      </x:c>
      <x:c r="E33" s="63" t="n">
        <x:v>4.80677890099558</x:v>
      </x:c>
      <x:c r="F33" s="54" t="n">
        <x:v>13</x:v>
      </x:c>
    </x:row>
    <x:row r="34">
      <x:c r="A34" s="51" t="str">
        <x:v>Queue</x:v>
      </x:c>
      <x:c r="B34" s="69" t="n">
        <x:v>0.05</x:v>
      </x:c>
      <x:c r="C34" s="51" t="str">
        <x:v>Unpaired</x:v>
      </x:c>
      <x:c r="D34" s="63" t="n">
        <x:v>2.275198414054054</x:v>
      </x:c>
      <x:c r="E34" s="63" t="n">
        <x:v>6.440448778738559</x:v>
      </x:c>
      <x:c r="F34" s="54" t="n">
        <x:v>22</x:v>
      </x:c>
    </x:row>
    <x:row r="35">
      <x:c r="A35" s="51" t="str">
        <x:v>Queue</x:v>
      </x:c>
      <x:c r="B35" s="69" t="n">
        <x:v>0.01</x:v>
      </x:c>
      <x:c r="C35" s="51" t="str">
        <x:v>Paired</x:v>
      </x:c>
      <x:c r="D35" s="63" t="n">
        <x:v>2.275198414054054</x:v>
      </x:c>
      <x:c r="E35" s="63" t="n">
        <x:v>4.80677890099558</x:v>
      </x:c>
      <x:c r="F35" s="54" t="n">
        <x:v>25</x:v>
      </x:c>
    </x:row>
    <x:row r="36">
      <x:c r="A36" s="52" t="str">
        <x:v>Queue</x:v>
      </x:c>
      <x:c r="B36" s="70" t="n">
        <x:v>0.01</x:v>
      </x:c>
      <x:c r="C36" s="52" t="str">
        <x:v>Unpaired</x:v>
      </x:c>
      <x:c r="D36" s="64" t="n">
        <x:v>2.275198414054054</x:v>
      </x:c>
      <x:c r="E36" s="64" t="n">
        <x:v>6.440448778738559</x:v>
      </x:c>
      <x:c r="F36" s="55" t="n">
        <x:v>44</x:v>
      </x:c>
    </x:row>
  </x:sheetData>
  <x:mergeCells>
    <x:mergeCell ref="A2:E2"/>
  </x:mergeCells>
  <x:pageMargins left="0.7" right="0.7" top="0.75" bottom="0.75" header="0.3" footer="0.3"/>
  <x:tableParts count="2">
    <x:tablePart xmlns:r="http://schemas.openxmlformats.org/officeDocument/2006/relationships" r:id="Ra0c132f1b81643c8"/>
    <x:tablePart xmlns:r="http://schemas.openxmlformats.org/officeDocument/2006/relationships" r:id="Rdcb36b42fabc46a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3" hidden="0" customWidth="1"/>
    <x:col min="5" max="5" width="15" hidden="0" customWidth="1"/>
    <x:col min="6" max="6" width="17" hidden="0" customWidth="1"/>
    <x:col min="7" max="7" width="19" hidden="0" customWidth="1"/>
    <x:col min="8" max="8" width="17" hidden="0" customWidth="1"/>
    <x:col min="9" max="9" width="17" hidden="0" customWidth="1"/>
  </x:cols>
  <x:sheetData>
    <x:row r="1" ht="25" customHeight="1">
      <x:c r="A1" s="2" t="str">
        <x:v>Blackjack rule sensitivity</x:v>
      </x:c>
      <x:c r="B1" s="77"/>
      <x:c r="C1" s="77"/>
      <x:c r="D1" s="77"/>
      <x:c r="E1" s="77"/>
      <x:c r="F1" s="77"/>
      <x:c r="G1" s="77"/>
      <x:c r="H1" s="77"/>
      <x:c r="I1" s="77"/>
    </x:row>
    <x:row r="2" ht="22" customHeight="1">
      <x:c r="A2" s="4" t="str">
        <x:v>One factor changes at a time; each condition compares Full basic with Simplified using matched random seeds.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</x:row>
    <x:row r="4">
      <x:c r="A4" s="43" t="str">
        <x:v>Rule dimension</x:v>
      </x:c>
      <x:c r="B4" s="44" t="str">
        <x:v>Level</x:v>
      </x:c>
      <x:c r="C4" s="44" t="str">
        <x:v>Rounds</x:v>
      </x:c>
      <x:c r="D4" s="44" t="str">
        <x:v>Replications</x:v>
      </x:c>
      <x:c r="E4" s="44" t="str">
        <x:v>Basic mean (%)</x:v>
      </x:c>
      <x:c r="F4" s="44" t="str">
        <x:v>Simplified mean (%)</x:v>
      </x:c>
      <x:c r="G4" s="44" t="str">
        <x:v>Paired advantage (pp)</x:v>
      </x:c>
      <x:c r="H4" s="44" t="str">
        <x:v>SD difference (pp)</x:v>
      </x:c>
      <x:c r="I4" s="45" t="str">
        <x:v>Reversal probability</x:v>
      </x:c>
    </x:row>
    <x:row r="5">
      <x:c r="A5" s="50" t="str">
        <x:v>Decks</x:v>
      </x:c>
      <x:c r="B5" s="50" t="str">
        <x:v>4</x:v>
      </x:c>
      <x:c r="C5" s="53" t="n">
        <x:v>2500</x:v>
      </x:c>
      <x:c r="D5" s="53" t="n">
        <x:v>500</x:v>
      </x:c>
      <x:c r="E5" s="59" t="n">
        <x:v>-0.35464000000000007</x:v>
      </x:c>
      <x:c r="F5" s="59" t="n">
        <x:v>-6.1062</x:v>
      </x:c>
      <x:c r="G5" s="62" t="n">
        <x:v>5.75156</x:v>
      </x:c>
      <x:c r="H5" s="62" t="n">
        <x:v>2.7989743265992857</x:v>
      </x:c>
      <x:c r="I5" s="68" t="n">
        <x:v>0.014</x:v>
      </x:c>
    </x:row>
    <x:row r="6">
      <x:c r="A6" s="51" t="str">
        <x:v>Decks</x:v>
      </x:c>
      <x:c r="B6" s="51" t="str">
        <x:v>6 (baseline)</x:v>
      </x:c>
      <x:c r="C6" s="54" t="n">
        <x:v>2500</x:v>
      </x:c>
      <x:c r="D6" s="54" t="n">
        <x:v>500</x:v>
      </x:c>
      <x:c r="E6" s="60" t="n">
        <x:v>-0.4592399999999999</x:v>
      </x:c>
      <x:c r="F6" s="60" t="n">
        <x:v>-6.05832</x:v>
      </x:c>
      <x:c r="G6" s="63" t="n">
        <x:v>5.59908</x:v>
      </x:c>
      <x:c r="H6" s="63" t="n">
        <x:v>2.6518217645501525</x:v>
      </x:c>
      <x:c r="I6" s="69" t="n">
        <x:v>0.02</x:v>
      </x:c>
    </x:row>
    <x:row r="7">
      <x:c r="A7" s="51" t="str">
        <x:v>Decks</x:v>
      </x:c>
      <x:c r="B7" s="51" t="str">
        <x:v>8</x:v>
      </x:c>
      <x:c r="C7" s="54" t="n">
        <x:v>2500</x:v>
      </x:c>
      <x:c r="D7" s="54" t="n">
        <x:v>500</x:v>
      </x:c>
      <x:c r="E7" s="60" t="n">
        <x:v>-0.5810799999999999</x:v>
      </x:c>
      <x:c r="F7" s="60" t="n">
        <x:v>-6.228560000000001</x:v>
      </x:c>
      <x:c r="G7" s="63" t="n">
        <x:v>5.647480000000001</x:v>
      </x:c>
      <x:c r="H7" s="63" t="n">
        <x:v>2.648762264278418</x:v>
      </x:c>
      <x:c r="I7" s="69" t="n">
        <x:v>0.022</x:v>
      </x:c>
    </x:row>
    <x:row r="8">
      <x:c r="A8" s="51" t="str">
        <x:v>Dealer soft 17</x:v>
      </x:c>
      <x:c r="B8" s="51" t="str">
        <x:v>Stand (baseline)</x:v>
      </x:c>
      <x:c r="C8" s="54" t="n">
        <x:v>2500</x:v>
      </x:c>
      <x:c r="D8" s="54" t="n">
        <x:v>500</x:v>
      </x:c>
      <x:c r="E8" s="60" t="n">
        <x:v>-0.40232</x:v>
      </x:c>
      <x:c r="F8" s="60" t="n">
        <x:v>-5.973959999999999</x:v>
      </x:c>
      <x:c r="G8" s="63" t="n">
        <x:v>5.5716399999999995</x:v>
      </x:c>
      <x:c r="H8" s="63" t="n">
        <x:v>2.7352750445867557</x:v>
      </x:c>
      <x:c r="I8" s="69" t="n">
        <x:v>0.026</x:v>
      </x:c>
    </x:row>
    <x:row r="9">
      <x:c r="A9" s="51" t="str">
        <x:v>Dealer soft 17</x:v>
      </x:c>
      <x:c r="B9" s="51" t="str">
        <x:v>Hit</x:v>
      </x:c>
      <x:c r="C9" s="54" t="n">
        <x:v>2500</x:v>
      </x:c>
      <x:c r="D9" s="54" t="n">
        <x:v>500</x:v>
      </x:c>
      <x:c r="E9" s="60" t="n">
        <x:v>-0.69372</x:v>
      </x:c>
      <x:c r="F9" s="60" t="n">
        <x:v>-5.986479999999999</x:v>
      </x:c>
      <x:c r="G9" s="63" t="n">
        <x:v>5.29276</x:v>
      </x:c>
      <x:c r="H9" s="63" t="n">
        <x:v>2.6491402890262123</x:v>
      </x:c>
      <x:c r="I9" s="69" t="n">
        <x:v>0.02</x:v>
      </x:c>
    </x:row>
    <x:row r="10">
      <x:c r="A10" s="51" t="str">
        <x:v>Blackjack payout</x:v>
      </x:c>
      <x:c r="B10" s="51" t="str">
        <x:v>3:2 (baseline)</x:v>
      </x:c>
      <x:c r="C10" s="54" t="n">
        <x:v>2500</x:v>
      </x:c>
      <x:c r="D10" s="54" t="n">
        <x:v>500</x:v>
      </x:c>
      <x:c r="E10" s="60" t="n">
        <x:v>-0.34012</x:v>
      </x:c>
      <x:c r="F10" s="60" t="n">
        <x:v>-5.953519999999999</x:v>
      </x:c>
      <x:c r="G10" s="63" t="n">
        <x:v>5.6133999999999995</x:v>
      </x:c>
      <x:c r="H10" s="63" t="n">
        <x:v>2.7028272216292257</x:v>
      </x:c>
      <x:c r="I10" s="69" t="n">
        <x:v>0.012</x:v>
      </x:c>
    </x:row>
    <x:row r="11">
      <x:c r="A11" s="51" t="str">
        <x:v>Blackjack payout</x:v>
      </x:c>
      <x:c r="B11" s="51" t="str">
        <x:v>6:5</x:v>
      </x:c>
      <x:c r="C11" s="54" t="n">
        <x:v>2500</x:v>
      </x:c>
      <x:c r="D11" s="54" t="n">
        <x:v>500</x:v>
      </x:c>
      <x:c r="E11" s="60" t="n">
        <x:v>-1.6353919999999966</x:v>
      </x:c>
      <x:c r="F11" s="60" t="n">
        <x:v>-7.346864000000009</x:v>
      </x:c>
      <x:c r="G11" s="63" t="n">
        <x:v>5.711472000000011</x:v>
      </x:c>
      <x:c r="H11" s="63" t="n">
        <x:v>2.734798803973055</x:v>
      </x:c>
      <x:c r="I11" s="69" t="n">
        <x:v>0.024</x:v>
      </x:c>
    </x:row>
    <x:row r="12">
      <x:c r="A12" s="51" t="str">
        <x:v>Penetration</x:v>
      </x:c>
      <x:c r="B12" s="51" t="str">
        <x:v>50%</x:v>
      </x:c>
      <x:c r="C12" s="54" t="n">
        <x:v>2500</x:v>
      </x:c>
      <x:c r="D12" s="54" t="n">
        <x:v>500</x:v>
      </x:c>
      <x:c r="E12" s="60" t="n">
        <x:v>-0.34392</x:v>
      </x:c>
      <x:c r="F12" s="60" t="n">
        <x:v>-5.987120000000001</x:v>
      </x:c>
      <x:c r="G12" s="63" t="n">
        <x:v>5.643200000000001</x:v>
      </x:c>
      <x:c r="H12" s="63" t="n">
        <x:v>2.67418673794835</x:v>
      </x:c>
      <x:c r="I12" s="69" t="n">
        <x:v>0.014</x:v>
      </x:c>
    </x:row>
    <x:row r="13">
      <x:c r="A13" s="51" t="str">
        <x:v>Penetration</x:v>
      </x:c>
      <x:c r="B13" s="51" t="str">
        <x:v>75% (baseline)</x:v>
      </x:c>
      <x:c r="C13" s="54" t="n">
        <x:v>2500</x:v>
      </x:c>
      <x:c r="D13" s="54" t="n">
        <x:v>500</x:v>
      </x:c>
      <x:c r="E13" s="60" t="n">
        <x:v>-0.42543999999999993</x:v>
      </x:c>
      <x:c r="F13" s="60" t="n">
        <x:v>-6.09108</x:v>
      </x:c>
      <x:c r="G13" s="63" t="n">
        <x:v>5.66564</x:v>
      </x:c>
      <x:c r="H13" s="63" t="n">
        <x:v>2.591298099811013</x:v>
      </x:c>
      <x:c r="I13" s="69" t="n">
        <x:v>0.012</x:v>
      </x:c>
    </x:row>
    <x:row r="14">
      <x:c r="A14" s="51" t="str">
        <x:v>Penetration</x:v>
      </x:c>
      <x:c r="B14" s="51" t="str">
        <x:v>90%</x:v>
      </x:c>
      <x:c r="C14" s="54" t="n">
        <x:v>2500</x:v>
      </x:c>
      <x:c r="D14" s="54" t="n">
        <x:v>500</x:v>
      </x:c>
      <x:c r="E14" s="60" t="n">
        <x:v>-0.41044</x:v>
      </x:c>
      <x:c r="F14" s="60" t="n">
        <x:v>-5.99912</x:v>
      </x:c>
      <x:c r="G14" s="63" t="n">
        <x:v>5.58868</x:v>
      </x:c>
      <x:c r="H14" s="63" t="n">
        <x:v>2.753461632113118</x:v>
      </x:c>
      <x:c r="I14" s="69" t="n">
        <x:v>0.02</x:v>
      </x:c>
    </x:row>
    <x:row r="15">
      <x:c r="A15" s="51" t="str">
        <x:v>Surrender</x:v>
      </x:c>
      <x:c r="B15" s="51" t="str">
        <x:v>Not allowed (baseline)</x:v>
      </x:c>
      <x:c r="C15" s="54" t="n">
        <x:v>2500</x:v>
      </x:c>
      <x:c r="D15" s="54" t="n">
        <x:v>500</x:v>
      </x:c>
      <x:c r="E15" s="60" t="n">
        <x:v>-0.37915999999999994</x:v>
      </x:c>
      <x:c r="F15" s="60" t="n">
        <x:v>-5.9563999999999995</x:v>
      </x:c>
      <x:c r="G15" s="63" t="n">
        <x:v>5.57724</x:v>
      </x:c>
      <x:c r="H15" s="63" t="n">
        <x:v>2.7457585404264244</x:v>
      </x:c>
      <x:c r="I15" s="69" t="n">
        <x:v>0.026</x:v>
      </x:c>
    </x:row>
    <x:row r="16">
      <x:c r="A16" s="51" t="str">
        <x:v>Surrender</x:v>
      </x:c>
      <x:c r="B16" s="51" t="str">
        <x:v>Late surrender</x:v>
      </x:c>
      <x:c r="C16" s="54" t="n">
        <x:v>2500</x:v>
      </x:c>
      <x:c r="D16" s="54" t="n">
        <x:v>500</x:v>
      </x:c>
      <x:c r="E16" s="60" t="n">
        <x:v>-0.21824000000000005</x:v>
      </x:c>
      <x:c r="F16" s="60" t="n">
        <x:v>-5.9954</x:v>
      </x:c>
      <x:c r="G16" s="63" t="n">
        <x:v>5.77716</x:v>
      </x:c>
      <x:c r="H16" s="63" t="n">
        <x:v>2.620360989985096</x:v>
      </x:c>
      <x:c r="I16" s="69" t="n">
        <x:v>0.018</x:v>
      </x:c>
    </x:row>
    <x:row r="17">
      <x:c r="A17" s="51" t="str">
        <x:v>Resplitting</x:v>
      </x:c>
      <x:c r="B17" s="51" t="str">
        <x:v>Allowed (baseline)</x:v>
      </x:c>
      <x:c r="C17" s="54" t="n">
        <x:v>2500</x:v>
      </x:c>
      <x:c r="D17" s="54" t="n">
        <x:v>500</x:v>
      </x:c>
      <x:c r="E17" s="60" t="n">
        <x:v>-0.40371999999999997</x:v>
      </x:c>
      <x:c r="F17" s="60" t="n">
        <x:v>-6.0019599999999995</x:v>
      </x:c>
      <x:c r="G17" s="63" t="n">
        <x:v>5.59824</x:v>
      </x:c>
      <x:c r="H17" s="63" t="n">
        <x:v>2.6144586610962435</x:v>
      </x:c>
      <x:c r="I17" s="69" t="n">
        <x:v>0.014</x:v>
      </x:c>
    </x:row>
    <x:row r="18">
      <x:c r="A18" s="52" t="str">
        <x:v>Resplitting</x:v>
      </x:c>
      <x:c r="B18" s="52" t="str">
        <x:v>Not allowed</x:v>
      </x:c>
      <x:c r="C18" s="55" t="n">
        <x:v>2500</x:v>
      </x:c>
      <x:c r="D18" s="55" t="n">
        <x:v>500</x:v>
      </x:c>
      <x:c r="E18" s="61" t="n">
        <x:v>-0.43992000000000003</x:v>
      </x:c>
      <x:c r="F18" s="61" t="n">
        <x:v>-6.107</x:v>
      </x:c>
      <x:c r="G18" s="64" t="n">
        <x:v>5.66708</x:v>
      </x:c>
      <x:c r="H18" s="64" t="n">
        <x:v>2.6748498868973694</x:v>
      </x:c>
      <x:c r="I18" s="70" t="n">
        <x:v>0.016</x:v>
      </x:c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1946412437ed40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16" hidden="0" customWidth="1"/>
    <x:col min="5" max="5" width="13" hidden="0" customWidth="1"/>
    <x:col min="6" max="6" width="13" hidden="0" customWidth="1"/>
    <x:col min="7" max="7" width="16" hidden="0" customWidth="1"/>
    <x:col min="8" max="8" width="16" hidden="0" customWidth="1"/>
  </x:cols>
  <x:sheetData>
    <x:row r="1" ht="25" customHeight="1">
      <x:c r="A1" s="2" t="str">
        <x:v>Seven-strategy comparison</x:v>
      </x:c>
      <x:c r="B1" s="77"/>
      <x:c r="C1" s="77"/>
      <x:c r="D1" s="77"/>
      <x:c r="E1" s="77"/>
      <x:c r="F1" s="77"/>
      <x:c r="G1" s="77"/>
      <x:c r="H1" s="77"/>
    </x:row>
    <x:row r="2" ht="22" customHeight="1">
      <x:c r="A2" s="4" t="str">
        <x:v>Baseline blackjack rules; confidence intervals quantify Monte Carlo uncertainty in each mean return.</x:v>
      </x:c>
      <x:c r="B2" s="4"/>
      <x:c r="C2" s="4"/>
      <x:c r="D2" s="4"/>
      <x:c r="E2" s="4"/>
      <x:c r="F2" s="4"/>
      <x:c r="G2" s="4"/>
      <x:c r="H2" s="4"/>
    </x:row>
    <x:row r="3">
      <x:c r="A3" s="78"/>
      <x:c r="B3" s="78"/>
      <x:c r="C3" s="78"/>
      <x:c r="D3" s="78"/>
      <x:c r="E3" s="78"/>
      <x:c r="F3" s="78"/>
      <x:c r="G3" s="78"/>
      <x:c r="H3" s="78"/>
    </x:row>
    <x:row r="4">
      <x:c r="A4" s="43" t="str">
        <x:v>Strategy</x:v>
      </x:c>
      <x:c r="B4" s="44" t="str">
        <x:v>Rounds</x:v>
      </x:c>
      <x:c r="C4" s="44" t="str">
        <x:v>Replications</x:v>
      </x:c>
      <x:c r="D4" s="44" t="str">
        <x:v>Mean return (%)</x:v>
      </x:c>
      <x:c r="E4" s="44" t="str">
        <x:v>SD (%)</x:v>
      </x:c>
      <x:c r="F4" s="44" t="str">
        <x:v>MCSE (pp)</x:v>
      </x:c>
      <x:c r="G4" s="44" t="str">
        <x:v>95% CI lower (%)</x:v>
      </x:c>
      <x:c r="H4" s="45" t="str">
        <x:v>95% CI upper (%)</x:v>
      </x:c>
    </x:row>
    <x:row r="5">
      <x:c r="A5" s="50" t="str">
        <x:v>Full basic</x:v>
      </x:c>
      <x:c r="B5" s="53" t="n">
        <x:v>2500</x:v>
      </x:c>
      <x:c r="C5" s="53" t="n">
        <x:v>1000</x:v>
      </x:c>
      <x:c r="D5" s="59" t="n">
        <x:v>-0.4894</x:v>
      </x:c>
      <x:c r="E5" s="62" t="n">
        <x:v>2.3432451083140315</x:v>
      </x:c>
      <x:c r="F5" s="62" t="n">
        <x:v>0.07409991658320296</x:v>
      </x:c>
      <x:c r="G5" s="59" t="n">
        <x:v>-0.6346358365030778</x:v>
      </x:c>
      <x:c r="H5" s="59" t="n">
        <x:v>-0.3441641634969222</x:v>
      </x:c>
    </x:row>
    <x:row r="6">
      <x:c r="A6" s="51" t="str">
        <x:v>No-split basic</x:v>
      </x:c>
      <x:c r="B6" s="54" t="n">
        <x:v>2500</x:v>
      </x:c>
      <x:c r="C6" s="54" t="n">
        <x:v>1000</x:v>
      </x:c>
      <x:c r="D6" s="60" t="n">
        <x:v>-1.0473800000000002</x:v>
      </x:c>
      <x:c r="E6" s="63" t="n">
        <x:v>2.2545470760483397</x:v>
      </x:c>
      <x:c r="F6" s="63" t="n">
        <x:v>0.07129503852385605</x:v>
      </x:c>
      <x:c r="G6" s="60" t="n">
        <x:v>-1.187118275506758</x:v>
      </x:c>
      <x:c r="H6" s="60" t="n">
        <x:v>-0.9076417244932423</x:v>
      </x:c>
    </x:row>
    <x:row r="7">
      <x:c r="A7" s="51" t="str">
        <x:v>No-double basic</x:v>
      </x:c>
      <x:c r="B7" s="54" t="n">
        <x:v>2500</x:v>
      </x:c>
      <x:c r="C7" s="54" t="n">
        <x:v>1000</x:v>
      </x:c>
      <x:c r="D7" s="60" t="n">
        <x:v>-2.00528</x:v>
      </x:c>
      <x:c r="E7" s="63" t="n">
        <x:v>2.106365803581728</x:v>
      </x:c>
      <x:c r="F7" s="63" t="n">
        <x:v>0.06660913524809116</x:v>
      </x:c>
      <x:c r="G7" s="60" t="n">
        <x:v>-2.1358339050862587</x:v>
      </x:c>
      <x:c r="H7" s="60" t="n">
        <x:v>-1.8747260949137412</x:v>
      </x:c>
    </x:row>
    <x:row r="8">
      <x:c r="A8" s="51" t="str">
        <x:v>Stand-on-12 conservative</x:v>
      </x:c>
      <x:c r="B8" s="54" t="n">
        <x:v>2500</x:v>
      </x:c>
      <x:c r="C8" s="54" t="n">
        <x:v>1000</x:v>
      </x:c>
      <x:c r="D8" s="60" t="n">
        <x:v>-3.9791399999999997</x:v>
      </x:c>
      <x:c r="E8" s="63" t="n">
        <x:v>2.263990749653036</x:v>
      </x:c>
      <x:c r="F8" s="63" t="n">
        <x:v>0.07159367370455658</x:v>
      </x:c>
      <x:c r="G8" s="60" t="n">
        <x:v>-4.11946360046093</x:v>
      </x:c>
      <x:c r="H8" s="60" t="n">
        <x:v>-3.838816399539069</x:v>
      </x:c>
    </x:row>
    <x:row r="9">
      <x:c r="A9" s="51" t="str">
        <x:v>Dealer mimic</x:v>
      </x:c>
      <x:c r="B9" s="54" t="n">
        <x:v>2500</x:v>
      </x:c>
      <x:c r="C9" s="54" t="n">
        <x:v>1000</x:v>
      </x:c>
      <x:c r="D9" s="60" t="n">
        <x:v>-5.7051799999999995</x:v>
      </x:c>
      <x:c r="E9" s="63" t="n">
        <x:v>1.9795031700910206</x:v>
      </x:c>
      <x:c r="F9" s="63" t="n">
        <x:v>0.06259738653011322</x:v>
      </x:c>
      <x:c r="G9" s="60" t="n">
        <x:v>-5.827870877599022</x:v>
      </x:c>
      <x:c r="H9" s="60" t="n">
        <x:v>-5.582489122400977</x:v>
      </x:c>
    </x:row>
    <x:row r="10">
      <x:c r="A10" s="51" t="str">
        <x:v>Simplified</x:v>
      </x:c>
      <x:c r="B10" s="54" t="n">
        <x:v>2500</x:v>
      </x:c>
      <x:c r="C10" s="54" t="n">
        <x:v>1000</x:v>
      </x:c>
      <x:c r="D10" s="60" t="n">
        <x:v>-6.10188</x:v>
      </x:c>
      <x:c r="E10" s="63" t="n">
        <x:v>1.9817725116389844</x:v>
      </x:c>
      <x:c r="F10" s="63" t="n">
        <x:v>0.0626691494109174</x:v>
      </x:c>
      <x:c r="G10" s="60" t="n">
        <x:v>-6.224711532845398</x:v>
      </x:c>
      <x:c r="H10" s="60" t="n">
        <x:v>-5.979048467154603</x:v>
      </x:c>
    </x:row>
    <x:row r="11">
      <x:c r="A11" s="52" t="str">
        <x:v>Random legal</x:v>
      </x:c>
      <x:c r="B11" s="55" t="n">
        <x:v>2500</x:v>
      </x:c>
      <x:c r="C11" s="55" t="n">
        <x:v>1000</x:v>
      </x:c>
      <x:c r="D11" s="61" t="n">
        <x:v>-42.55084</x:v>
      </x:c>
      <x:c r="E11" s="64" t="n">
        <x:v>2.598974174777649</x:v>
      </x:c>
      <x:c r="F11" s="64" t="n">
        <x:v>0.08218677972253909</x:v>
      </x:c>
      <x:c r="G11" s="61" t="n">
        <x:v>-42.71192608825618</x:v>
      </x:c>
      <x:c r="H11" s="61" t="n">
        <x:v>-42.389753911743824</x:v>
      </x:c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7bb144ae722946c4"/>
  <x:tableParts count="1">
    <x:tablePart xmlns:r="http://schemas.openxmlformats.org/officeDocument/2006/relationships" r:id="R30f7e40b98e742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9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5" customHeight="1">
      <x:c r="A1" s="2" t="str">
        <x:v>Bootstrap confidence intervals</x:v>
      </x:c>
      <x:c r="B1" s="77"/>
      <x:c r="C1" s="77"/>
      <x:c r="D1" s="77"/>
      <x:c r="E1" s="77"/>
      <x:c r="F1" s="77"/>
      <x:c r="G1" s="77"/>
      <x:c r="H1" s="77"/>
      <x:c r="I1" s="77"/>
    </x:row>
    <x:row r="2" ht="22" customHeight="1">
      <x:c r="A2" s="4" t="str">
        <x:v>Percentile bootstrap intervals are compared with normal-theory intervals for the mean paired advantage.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</x:row>
    <x:row r="4">
      <x:c r="A4" s="43" t="str">
        <x:v>Sample size</x:v>
      </x:c>
      <x:c r="B4" s="44" t="str">
        <x:v>Replications</x:v>
      </x:c>
      <x:c r="C4" s="44" t="str">
        <x:v>Bootstrap resamples</x:v>
      </x:c>
      <x:c r="D4" s="44" t="str">
        <x:v>Mean difference (pp)</x:v>
      </x:c>
      <x:c r="E4" s="44" t="str">
        <x:v>Normal lower</x:v>
      </x:c>
      <x:c r="F4" s="44" t="str">
        <x:v>Normal upper</x:v>
      </x:c>
      <x:c r="G4" s="44" t="str">
        <x:v>Bootstrap lower</x:v>
      </x:c>
      <x:c r="H4" s="44" t="str">
        <x:v>Bootstrap upper</x:v>
      </x:c>
      <x:c r="I4" s="45" t="str">
        <x:v>Bootstrap width</x:v>
      </x:c>
    </x:row>
    <x:row r="5">
      <x:c r="A5" s="53" t="n">
        <x:v>25</x:v>
      </x:c>
      <x:c r="B5" s="53" t="n">
        <x:v>10000</x:v>
      </x:c>
      <x:c r="C5" s="53" t="n">
        <x:v>1000</x:v>
      </x:c>
      <x:c r="D5" s="62" t="n">
        <x:v>6.044</x:v>
      </x:c>
      <x:c r="E5" s="62" t="n">
        <x:v>5.519601552352193</x:v>
      </x:c>
      <x:c r="F5" s="62" t="n">
        <x:v>6.568398447647806</x:v>
      </x:c>
      <x:c r="G5" s="62" t="n">
        <x:v>5.51799</x:v>
      </x:c>
      <x:c r="H5" s="62" t="n">
        <x:v>6.58188</x:v>
      </x:c>
      <x:c r="I5" s="62" t="n">
        <x:v>1.0638899999999998</x:v>
      </x:c>
    </x:row>
    <x:row r="6">
      <x:c r="A6" s="54" t="n">
        <x:v>50</x:v>
      </x:c>
      <x:c r="B6" s="54" t="n">
        <x:v>10000</x:v>
      </x:c>
      <x:c r="C6" s="54" t="n">
        <x:v>1000</x:v>
      </x:c>
      <x:c r="D6" s="63" t="n">
        <x:v>5.9211</x:v>
      </x:c>
      <x:c r="E6" s="63" t="n">
        <x:v>5.552826702888381</x:v>
      </x:c>
      <x:c r="F6" s="63" t="n">
        <x:v>6.289373297111619</x:v>
      </x:c>
      <x:c r="G6" s="63" t="n">
        <x:v>5.5781975</x:v>
      </x:c>
      <x:c r="H6" s="63" t="n">
        <x:v>6.2934275</x:v>
      </x:c>
      <x:c r="I6" s="63" t="n">
        <x:v>0.71523</x:v>
      </x:c>
    </x:row>
    <x:row r="7">
      <x:c r="A7" s="54" t="n">
        <x:v>100</x:v>
      </x:c>
      <x:c r="B7" s="54" t="n">
        <x:v>10000</x:v>
      </x:c>
      <x:c r="C7" s="54" t="n">
        <x:v>1000</x:v>
      </x:c>
      <x:c r="D7" s="63" t="n">
        <x:v>5.6013</x:v>
      </x:c>
      <x:c r="E7" s="63" t="n">
        <x:v>5.336199053656263</x:v>
      </x:c>
      <x:c r="F7" s="63" t="n">
        <x:v>5.866400946343737</x:v>
      </x:c>
      <x:c r="G7" s="63" t="n">
        <x:v>5.33178875</x:v>
      </x:c>
      <x:c r="H7" s="63" t="n">
        <x:v>5.86086375</x:v>
      </x:c>
      <x:c r="I7" s="63" t="n">
        <x:v>0.5290749999999997</x:v>
      </x:c>
    </x:row>
    <x:row r="8">
      <x:c r="A8" s="54" t="n">
        <x:v>250</x:v>
      </x:c>
      <x:c r="B8" s="54" t="n">
        <x:v>10000</x:v>
      </x:c>
      <x:c r="C8" s="54" t="n">
        <x:v>1000</x:v>
      </x:c>
      <x:c r="D8" s="63" t="n">
        <x:v>5.636</x:v>
      </x:c>
      <x:c r="E8" s="63" t="n">
        <x:v>5.467722171628845</x:v>
      </x:c>
      <x:c r="F8" s="63" t="n">
        <x:v>5.804277828371156</x:v>
      </x:c>
      <x:c r="G8" s="63" t="n">
        <x:v>5.471567</x:v>
      </x:c>
      <x:c r="H8" s="63" t="n">
        <x:v>5.804725</x:v>
      </x:c>
      <x:c r="I8" s="63" t="n">
        <x:v>0.33315800000000007</x:v>
      </x:c>
    </x:row>
    <x:row r="9">
      <x:c r="A9" s="54" t="n">
        <x:v>500</x:v>
      </x:c>
      <x:c r="B9" s="54" t="n">
        <x:v>10000</x:v>
      </x:c>
      <x:c r="C9" s="54" t="n">
        <x:v>1000</x:v>
      </x:c>
      <x:c r="D9" s="63" t="n">
        <x:v>5.63437</x:v>
      </x:c>
      <x:c r="E9" s="63" t="n">
        <x:v>5.515309978436015</x:v>
      </x:c>
      <x:c r="F9" s="63" t="n">
        <x:v>5.753430021563984</x:v>
      </x:c>
      <x:c r="G9" s="63" t="n">
        <x:v>5.515624</x:v>
      </x:c>
      <x:c r="H9" s="63" t="n">
        <x:v>5.756206</x:v>
      </x:c>
      <x:c r="I9" s="63" t="n">
        <x:v>0.24058199999999985</x:v>
      </x:c>
    </x:row>
    <x:row r="10">
      <x:c r="A10" s="54" t="n">
        <x:v>1000</x:v>
      </x:c>
      <x:c r="B10" s="54" t="n">
        <x:v>10000</x:v>
      </x:c>
      <x:c r="C10" s="54" t="n">
        <x:v>1000</x:v>
      </x:c>
      <x:c r="D10" s="63" t="n">
        <x:v>5.62295</x:v>
      </x:c>
      <x:c r="E10" s="63" t="n">
        <x:v>5.538879291299445</x:v>
      </x:c>
      <x:c r="F10" s="63" t="n">
        <x:v>5.707020708700556</x:v>
      </x:c>
      <x:c r="G10" s="63" t="n">
        <x:v>5.535555875</x:v>
      </x:c>
      <x:c r="H10" s="63" t="n">
        <x:v>5.704253874999999</x:v>
      </x:c>
      <x:c r="I10" s="63" t="n">
        <x:v>0.16869799999999913</x:v>
      </x:c>
    </x:row>
    <x:row r="11">
      <x:c r="A11" s="54" t="n">
        <x:v>2500</x:v>
      </x:c>
      <x:c r="B11" s="54" t="n">
        <x:v>10000</x:v>
      </x:c>
      <x:c r="C11" s="54" t="n">
        <x:v>1000</x:v>
      </x:c>
      <x:c r="D11" s="63" t="n">
        <x:v>5.575868</x:v>
      </x:c>
      <x:c r="E11" s="63" t="n">
        <x:v>5.522591770708582</x:v>
      </x:c>
      <x:c r="F11" s="63" t="n">
        <x:v>5.629144229291418</x:v>
      </x:c>
      <x:c r="G11" s="63" t="n">
        <x:v>5.51906245</x:v>
      </x:c>
      <x:c r="H11" s="63" t="n">
        <x:v>5.6303953</x:v>
      </x:c>
      <x:c r="I11" s="63" t="n">
        <x:v>0.11133285000000015</x:v>
      </x:c>
    </x:row>
    <x:row r="12">
      <x:c r="A12" s="54" t="n">
        <x:v>5000</x:v>
      </x:c>
      <x:c r="B12" s="54" t="n">
        <x:v>10000</x:v>
      </x:c>
      <x:c r="C12" s="54" t="n">
        <x:v>1000</x:v>
      </x:c>
      <x:c r="D12" s="63" t="n">
        <x:v>5.609692</x:v>
      </x:c>
      <x:c r="E12" s="63" t="n">
        <x:v>5.572411876155522</x:v>
      </x:c>
      <x:c r="F12" s="63" t="n">
        <x:v>5.646972123844478</x:v>
      </x:c>
      <x:c r="G12" s="63" t="n">
        <x:v>5.570515449999999</x:v>
      </x:c>
      <x:c r="H12" s="63" t="n">
        <x:v>5.645981924999999</x:v>
      </x:c>
      <x:c r="I12" s="63" t="n">
        <x:v>0.07546647499999981</x:v>
      </x:c>
    </x:row>
    <x:row r="13">
      <x:c r="A13" s="54" t="n">
        <x:v>10000</x:v>
      </x:c>
      <x:c r="B13" s="54" t="n">
        <x:v>10000</x:v>
      </x:c>
      <x:c r="C13" s="54" t="n">
        <x:v>1000</x:v>
      </x:c>
      <x:c r="D13" s="63" t="n">
        <x:v>5.589525999999999</x:v>
      </x:c>
      <x:c r="E13" s="63" t="n">
        <x:v>5.563130885922451</x:v>
      </x:c>
      <x:c r="F13" s="63" t="n">
        <x:v>5.615921114077548</x:v>
      </x:c>
      <x:c r="G13" s="63" t="n">
        <x:v>5.5635313250000005</x:v>
      </x:c>
      <x:c r="H13" s="63" t="n">
        <x:v>5.6173766</x:v>
      </x:c>
      <x:c r="I13" s="63" t="n">
        <x:v>0.05384527499999958</x:v>
      </x:c>
    </x:row>
    <x:row r="14">
      <x:c r="A14" s="54" t="n">
        <x:v>25000</x:v>
      </x:c>
      <x:c r="B14" s="54" t="n">
        <x:v>10000</x:v>
      </x:c>
      <x:c r="C14" s="54" t="n">
        <x:v>1000</x:v>
      </x:c>
      <x:c r="D14" s="63" t="n">
        <x:v>5.5780864</x:v>
      </x:c>
      <x:c r="E14" s="63" t="n">
        <x:v>5.5610328071860415</x:v>
      </x:c>
      <x:c r="F14" s="63" t="n">
        <x:v>5.595139992813959</x:v>
      </x:c>
      <x:c r="G14" s="63" t="n">
        <x:v>5.56153185</x:v>
      </x:c>
      <x:c r="H14" s="63" t="n">
        <x:v>5.59462093</x:v>
      </x:c>
      <x:c r="I14" s="63" t="n">
        <x:v>0.03308907999999988</x:v>
      </x:c>
    </x:row>
    <x:row r="15">
      <x:c r="A15" s="55" t="n">
        <x:v>50000</x:v>
      </x:c>
      <x:c r="B15" s="55" t="n">
        <x:v>10000</x:v>
      </x:c>
      <x:c r="C15" s="55" t="n">
        <x:v>1000</x:v>
      </x:c>
      <x:c r="D15" s="64" t="n">
        <x:v>5.581641499999999</x:v>
      </x:c>
      <x:c r="E15" s="64" t="n">
        <x:v>5.569669504571745</x:v>
      </x:c>
      <x:c r="F15" s="64" t="n">
        <x:v>5.5936134954282535</x:v>
      </x:c>
      <x:c r="G15" s="64" t="n">
        <x:v>5.570130095</x:v>
      </x:c>
      <x:c r="H15" s="64" t="n">
        <x:v>5.5929231325</x:v>
      </x:c>
      <x:c r="I15" s="64" t="n">
        <x:v>0.0227930375000005</x:v>
      </x:c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90035a9ca9794f6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70" hidden="0" customWidth="1"/>
  </x:cols>
  <x:sheetData>
    <x:row r="1" ht="25" customHeight="1">
      <x:c r="A1" s="2" t="str">
        <x:v>Corrected-engine validation</x:v>
      </x:c>
      <x:c r="B1" s="77"/>
      <x:c r="C1" s="77"/>
    </x:row>
    <x:row r="2" ht="22" customHeight="1">
      <x:c r="A2" s="4" t="str">
        <x:v>Deterministic tests and aggregate plausibility checks for the upgraded computation.</x:v>
      </x:c>
      <x:c r="B2" s="4"/>
      <x:c r="C2" s="4"/>
    </x:row>
    <x:row r="3">
      <x:c r="A3" s="78"/>
      <x:c r="B3" s="78"/>
      <x:c r="C3" s="78"/>
    </x:row>
    <x:row r="4">
      <x:c r="A4" s="43" t="str">
        <x:v>Test</x:v>
      </x:c>
      <x:c r="B4" s="44" t="str">
        <x:v>Status</x:v>
      </x:c>
      <x:c r="C4" s="45" t="str">
        <x:v>Evidence</x:v>
      </x:c>
    </x:row>
    <x:row r="5">
      <x:c r="A5" s="50" t="str">
        <x:v>Finite-shoe card counts</x:v>
      </x:c>
      <x:c r="B5" s="50" t="str">
        <x:v>PASS</x:v>
      </x:c>
      <x:c r="C5" s="56" t="str">
        <x:v>{2: 4, 3: 4, 4: 4, 5: 4, 6: 4, 7: 4, 8: 4, 9: 4, 10: 16, 11: 4}</x:v>
      </x:c>
    </x:row>
    <x:row r="6">
      <x:c r="A6" s="51" t="str">
        <x:v>Shuffle penetration threshold</x:v>
      </x:c>
      <x:c r="B6" s="51" t="str">
        <x:v>PASS</x:v>
      </x:c>
      <x:c r="C6" s="57" t="str">
        <x:v>Six-deck 75% penetration leaves 78 cards</x:v>
      </x:c>
    </x:row>
    <x:row r="7">
      <x:c r="A7" s="51" t="str">
        <x:v>Soft-total handling</x:v>
      </x:c>
      <x:c r="B7" s="51" t="str">
        <x:v>PASS</x:v>
      </x:c>
      <x:c r="C7" s="57" t="str">
        <x:v>A,6,10 evaluates to 17, soft=False</x:v>
      </x:c>
    </x:row>
    <x:row r="8">
      <x:c r="A8" s="51" t="str">
        <x:v>Soft 17 recognition</x:v>
      </x:c>
      <x:c r="B8" s="51" t="str">
        <x:v>PASS</x:v>
      </x:c>
      <x:c r="C8" s="57" t="str">
        <x:v>A,6 evaluates to 17, soft=True</x:v>
      </x:c>
    </x:row>
    <x:row r="9">
      <x:c r="A9" s="51" t="str">
        <x:v>Blackjack payout logic</x:v>
      </x:c>
      <x:c r="B9" s="51" t="str">
        <x:v>PASS</x:v>
      </x:c>
      <x:c r="C9" s="57" t="str">
        <x:v>3:2=1.5 units and 6:5=1.2 units</x:v>
      </x:c>
    </x:row>
    <x:row r="10">
      <x:c r="A10" s="51" t="str">
        <x:v>Dealer S17/H17 switch</x:v>
      </x:c>
      <x:c r="B10" s="51" t="str">
        <x:v>PASS</x:v>
      </x:c>
      <x:c r="C10" s="57" t="str">
        <x:v>Both rule states configured and simulated</x:v>
      </x:c>
    </x:row>
    <x:row r="11">
      <x:c r="A11" s="51" t="str">
        <x:v>Split-aces restriction</x:v>
      </x:c>
      <x:c r="B11" s="51" t="str">
        <x:v>PASS</x:v>
      </x:c>
      <x:c r="C11" s="57" t="str">
        <x:v>Baseline allows one card after splitting aces and prohibits resplitting aces</x:v>
      </x:c>
    </x:row>
    <x:row r="12">
      <x:c r="A12" s="51" t="str">
        <x:v>Resplitting switch</x:v>
      </x:c>
      <x:c r="B12" s="51" t="str">
        <x:v>PASS</x:v>
      </x:c>
      <x:c r="C12" s="57" t="str">
        <x:v>Allowed and prohibited configurations executed</x:v>
      </x:c>
    </x:row>
    <x:row r="13">
      <x:c r="A13" s="51" t="str">
        <x:v>Double-after-split restriction</x:v>
      </x:c>
      <x:c r="B13" s="51" t="str">
        <x:v>PASS</x:v>
      </x:c>
      <x:c r="C13" s="57" t="str">
        <x:v>Baseline DAS enabled; action requires a two-card hand</x:v>
      </x:c>
    </x:row>
    <x:row r="14">
      <x:c r="A14" s="51" t="str">
        <x:v>Push/loss/win settlement</x:v>
      </x:c>
      <x:c r="B14" s="51" t="str">
        <x:v>PASS</x:v>
      </x:c>
      <x:c r="C14" s="57" t="str">
        <x:v>Loss=-1, push=0, win=+1 before wager multipliers</x:v>
      </x:c>
    </x:row>
    <x:row r="15">
      <x:c r="A15" s="51" t="str">
        <x:v>Total wager accounting</x:v>
      </x:c>
      <x:c r="B15" s="51" t="str">
        <x:v>PASS</x:v>
      </x:c>
      <x:c r="C15" s="57" t="str">
        <x:v>Double and split hands settle using their stored bet units</x:v>
      </x:c>
    </x:row>
    <x:row r="16">
      <x:c r="A16" s="51" t="str">
        <x:v>Deterministic reproducibility</x:v>
      </x:c>
      <x:c r="B16" s="51" t="str">
        <x:v>PASS</x:v>
      </x:c>
      <x:c r="C16" s="57" t="str">
        <x:v>Repeated seeded runs matched exactly</x:v>
      </x:c>
    </x:row>
    <x:row r="17">
      <x:c r="A17" s="51" t="str">
        <x:v>Corrected-result plausibility</x:v>
      </x:c>
      <x:c r="B17" s="51" t="str">
        <x:v>PASS</x:v>
      </x:c>
      <x:c r="C17" s="57" t="str">
        <x:v>At n=50000, Basic=-0.496%, Simplified=-6.078%</x:v>
      </x:c>
    </x:row>
    <x:row r="18">
      <x:c r="A18" s="52" t="str">
        <x:v>Paired variance reduction</x:v>
      </x:c>
      <x:c r="B18" s="52" t="str">
        <x:v>PASS</x:v>
      </x:c>
      <x:c r="C18" s="58" t="str">
        <x:v>Median reduction=19.6%</x:v>
      </x:c>
    </x:row>
  </x:sheetData>
  <x:mergeCells>
    <x:mergeCell ref="A2:C2"/>
  </x:mergeCells>
  <x:conditionalFormatting sqref="B5:B18">
    <x:cfRule type="containsText" dxfId="0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27af8ded0f4648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4" hidden="0" customWidth="1"/>
    <x:col min="4" max="4" width="40" hidden="0" customWidth="1"/>
    <x:col min="5" max="5" width="76" hidden="0" customWidth="1"/>
  </x:cols>
  <x:sheetData>
    <x:row r="1" ht="25" customHeight="1">
      <x:c r="A1" s="2" t="str">
        <x:v>Legacy source audit</x:v>
      </x:c>
      <x:c r="B1" s="77"/>
      <x:c r="C1" s="77"/>
      <x:c r="D1" s="77"/>
      <x:c r="E1" s="77"/>
    </x:row>
    <x:row r="2" ht="22" customHeight="1">
      <x:c r="A2" s="4" t="str">
        <x:v>Checks applied to the supplied 5,000-round dataset and the public notebook linked in the manuscript.</x:v>
      </x:c>
      <x:c r="B2" s="4"/>
      <x:c r="C2" s="4"/>
      <x:c r="D2" s="4"/>
      <x:c r="E2" s="4"/>
    </x:row>
    <x:row r="3">
      <x:c r="A3" s="78"/>
      <x:c r="B3" s="78"/>
      <x:c r="C3" s="78"/>
      <x:c r="D3" s="78"/>
      <x:c r="E3" s="78"/>
    </x:row>
    <x:row r="4">
      <x:c r="A4" s="43" t="str">
        <x:v>Check</x:v>
      </x:c>
      <x:c r="B4" s="44" t="str">
        <x:v>Status</x:v>
      </x:c>
      <x:c r="C4" s="44" t="str">
        <x:v>Observed</x:v>
      </x:c>
      <x:c r="D4" s="44" t="str">
        <x:v>Expected</x:v>
      </x:c>
      <x:c r="E4" s="45" t="str">
        <x:v>Interpretation</x:v>
      </x:c>
    </x:row>
    <x:row r="5">
      <x:c r="A5" s="50" t="str">
        <x:v>Declared six-deck shoe size</x:v>
      </x:c>
      <x:c r="B5" s="50" t="str">
        <x:v>ISSUE FOUND</x:v>
      </x:c>
      <x:c r="C5" s="56" t="n">
        <x:v>78</x:v>
      </x:c>
      <x:c r="D5" s="56" t="n">
        <x:v>312</x:v>
      </x:c>
      <x:c r="E5" s="56" t="str">
        <x:v>The supplied data never begins a round with more than 78 cards, although six decks require 312 cards.</x:v>
      </x:c>
    </x:row>
    <x:row r="6">
      <x:c r="A6" s="51" t="str">
        <x:v>Shoe persistence across rounds</x:v>
      </x:c>
      <x:c r="B6" s="51" t="str">
        <x:v>ISSUE FOUND</x:v>
      </x:c>
      <x:c r="C6" s="57" t="n">
        <x:v>5000</x:v>
      </x:c>
      <x:c r="D6" s="57" t="str">
        <x:v>Far fewer than 5,000 shoes for 5,000 rounds</x:v>
      </x:c>
      <x:c r="E6" s="57" t="str">
        <x:v>The shoe identifier changes on every recorded round, so 75% penetration was not implemented in the supplied run.</x:v>
      </x:c>
    </x:row>
    <x:row r="7">
      <x:c r="A7" s="51" t="str">
        <x:v>Notebook base-deck construction</x:v>
      </x:c>
      <x:c r="B7" s="51" t="str">
        <x:v>ISSUE FOUND</x:v>
      </x:c>
      <x:c r="C7" s="57" t="str">
        <x:v>13 rank entries multiplied by NUM_DECKS</x:v>
      </x:c>
      <x:c r="D7" s="57" t="str">
        <x:v>52 cards per physical deck, including four copies of each rank</x:v>
      </x:c>
      <x:c r="E7" s="57" t="str">
        <x:v>The original notebook creates 78 cards for six decks while setting the cut-card threshold to 78, forcing a reshuffle before every round.</x:v>
      </x:c>
    </x:row>
    <x:row r="8">
      <x:c r="A8" s="52" t="str">
        <x:v>Corrected engine base deck</x:v>
      </x:c>
      <x:c r="B8" s="52" t="str">
        <x:v>CORRECTED</x:v>
      </x:c>
      <x:c r="C8" s="58" t="n">
        <x:v>52</x:v>
      </x:c>
      <x:c r="D8" s="58" t="n">
        <x:v>52</x:v>
      </x:c>
      <x:c r="E8" s="58" t="str">
        <x:v>The upgraded computation uses four cards of ranks 2-9 and Ace plus sixteen ten-valued cards per deck.</x:v>
      </x:c>
    </x:row>
  </x:sheetData>
  <x:mergeCells>
    <x:mergeCell ref="A2:E2"/>
  </x:mergeCells>
  <x:conditionalFormatting sqref="B5:B8">
    <x:cfRule type="containsText" dxfId="1" priority="1" operator="containsText" text="ISSUE FOUND"/>
    <x:cfRule type="containsText" dxfId="2" priority="2" operator="containsText" text="CORRECTED"/>
  </x:conditionalFormatting>
  <x:pageMargins left="0.7" right="0.7" top="0.75" bottom="0.75" header="0.3" footer="0.3"/>
  <x:tableParts count="1">
    <x:tablePart xmlns:r="http://schemas.openxmlformats.org/officeDocument/2006/relationships" r:id="Rd470027bd2af4ea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86" hidden="0" customWidth="1"/>
  </x:cols>
  <x:sheetData>
    <x:row r="1" ht="25" customHeight="1">
      <x:c r="A1" s="2" t="str">
        <x:v>Run settings and provenance</x:v>
      </x:c>
      <x:c r="B1" s="77"/>
      <x:c r="C1" s="77"/>
    </x:row>
    <x:row r="2" ht="22" customHeight="1">
      <x:c r="A2" s="4" t="str">
        <x:v>Reproducibility settings, model definitions, and source files used for this results package.</x:v>
      </x:c>
      <x:c r="B2" s="4"/>
      <x:c r="C2" s="4"/>
    </x:row>
    <x:row r="3">
      <x:c r="A3" s="78"/>
      <x:c r="B3" s="78"/>
      <x:c r="C3" s="78"/>
    </x:row>
    <x:row r="4">
      <x:c r="A4" s="43" t="str">
        <x:v>Parameter</x:v>
      </x:c>
      <x:c r="B4" s="45" t="str">
        <x:v>Value</x:v>
      </x:c>
      <x:c r="C4" s="78"/>
    </x:row>
    <x:row r="5">
      <x:c r="A5" s="56" t="str">
        <x:v>mode</x:v>
      </x:c>
      <x:c r="B5" s="56" t="str">
        <x:v>full</x:v>
      </x:c>
      <x:c r="C5" s="78"/>
    </x:row>
    <x:row r="6">
      <x:c r="A6" s="57" t="str">
        <x:v>master_seed</x:v>
      </x:c>
      <x:c r="B6" s="57" t="str">
        <x:v>20260904</x:v>
      </x:c>
      <x:c r="C6" s="78"/>
    </x:row>
    <x:row r="7">
      <x:c r="A7" s="57" t="str">
        <x:v>sample_sizes</x:v>
      </x:c>
      <x:c r="B7" s="57" t="str">
        <x:v>25, 50, 100, 250, 500, 1000, 2500, 5000, 10000, 25000, 50000</x:v>
      </x:c>
      <x:c r="C7" s="78"/>
    </x:row>
    <x:row r="8">
      <x:c r="A8" s="57" t="str">
        <x:v>direct_blackjack_sample_sizes</x:v>
      </x:c>
      <x:c r="B8" s="57" t="str">
        <x:v>25, 50, 100, 250, 500, 1000, 2500</x:v>
      </x:c>
      <x:c r="C8" s="78"/>
    </x:row>
    <x:row r="9">
      <x:c r="A9" s="57" t="str">
        <x:v>large_n_blackjack_method</x:v>
      </x:c>
      <x:c r="B9" s="57" t="str">
        <x:v>paired bootstrap aggregation of independent 2,500-round finite-shoe blocks</x:v>
      </x:c>
      <x:c r="C9" s="78"/>
    </x:row>
    <x:row r="10">
      <x:c r="A10" s="57" t="str">
        <x:v>primary_replications</x:v>
      </x:c>
      <x:c r="B10" s="57" t="str">
        <x:v>10000</x:v>
      </x:c>
      <x:c r="C10" s="78"/>
    </x:row>
    <x:row r="11">
      <x:c r="A11" s="57" t="str">
        <x:v>sensitivity_replications</x:v>
      </x:c>
      <x:c r="B11" s="57" t="str">
        <x:v>500</x:v>
      </x:c>
      <x:c r="C11" s="78"/>
    </x:row>
    <x:row r="12">
      <x:c r="A12" s="57" t="str">
        <x:v>strategy_replications</x:v>
      </x:c>
      <x:c r="B12" s="57" t="str">
        <x:v>1000</x:v>
      </x:c>
      <x:c r="C12" s="78"/>
    </x:row>
    <x:row r="13">
      <x:c r="A13" s="57" t="str">
        <x:v>sensitivity_rounds</x:v>
      </x:c>
      <x:c r="B13" s="57" t="str">
        <x:v>2500</x:v>
      </x:c>
      <x:c r="C13" s="78"/>
    </x:row>
    <x:row r="14">
      <x:c r="A14" s="57" t="str">
        <x:v>strategy_rounds</x:v>
      </x:c>
      <x:c r="B14" s="57" t="str">
        <x:v>2500</x:v>
      </x:c>
      <x:c r="C14" s="78"/>
    </x:row>
    <x:row r="15">
      <x:c r="A15" s="57" t="str">
        <x:v>bootstrap_resamples</x:v>
      </x:c>
      <x:c r="B15" s="57" t="str">
        <x:v>1000</x:v>
      </x:c>
      <x:c r="C15" s="78"/>
    </x:row>
    <x:row r="16">
      <x:c r="A16" s="57" t="str">
        <x:v>blackjack_config.decks</x:v>
      </x:c>
      <x:c r="B16" s="57" t="str">
        <x:v>6</x:v>
      </x:c>
      <x:c r="C16" s="78"/>
    </x:row>
    <x:row r="17">
      <x:c r="A17" s="57" t="str">
        <x:v>blackjack_config.penetration</x:v>
      </x:c>
      <x:c r="B17" s="57" t="str">
        <x:v>0.75</x:v>
      </x:c>
      <x:c r="C17" s="78"/>
    </x:row>
    <x:row r="18">
      <x:c r="A18" s="57" t="str">
        <x:v>blackjack_config.dealer_hits_soft_17</x:v>
      </x:c>
      <x:c r="B18" s="57" t="str">
        <x:v>false</x:v>
      </x:c>
      <x:c r="C18" s="78"/>
    </x:row>
    <x:row r="19">
      <x:c r="A19" s="57" t="str">
        <x:v>blackjack_config.blackjack_payout</x:v>
      </x:c>
      <x:c r="B19" s="57" t="str">
        <x:v>1.5</x:v>
      </x:c>
      <x:c r="C19" s="78"/>
    </x:row>
    <x:row r="20">
      <x:c r="A20" s="57" t="str">
        <x:v>blackjack_config.surrender_allowed</x:v>
      </x:c>
      <x:c r="B20" s="57" t="str">
        <x:v>false</x:v>
      </x:c>
      <x:c r="C20" s="78"/>
    </x:row>
    <x:row r="21">
      <x:c r="A21" s="57" t="str">
        <x:v>blackjack_config.allow_resplit</x:v>
      </x:c>
      <x:c r="B21" s="57" t="str">
        <x:v>true</x:v>
      </x:c>
      <x:c r="C21" s="78"/>
    </x:row>
    <x:row r="22">
      <x:c r="A22" s="57" t="str">
        <x:v>blackjack_config.resplit_aces</x:v>
      </x:c>
      <x:c r="B22" s="57" t="str">
        <x:v>false</x:v>
      </x:c>
      <x:c r="C22" s="78"/>
    </x:row>
    <x:row r="23">
      <x:c r="A23" s="57" t="str">
        <x:v>blackjack_config.maximum_splits</x:v>
      </x:c>
      <x:c r="B23" s="57" t="str">
        <x:v>3</x:v>
      </x:c>
      <x:c r="C23" s="78"/>
    </x:row>
    <x:row r="24">
      <x:c r="A24" s="57" t="str">
        <x:v>blackjack_config.double_after_split</x:v>
      </x:c>
      <x:c r="B24" s="57" t="str">
        <x:v>true</x:v>
      </x:c>
      <x:c r="C24" s="78"/>
    </x:row>
    <x:row r="25">
      <x:c r="A25" s="57" t="str">
        <x:v>inventory_model.demand_distribution</x:v>
      </x:c>
      <x:c r="B25" s="57" t="str">
        <x:v>Poisson(mean=20 units per period)</x:v>
      </x:c>
      <x:c r="C25" s="78"/>
    </x:row>
    <x:row r="26">
      <x:c r="A26" s="57" t="str">
        <x:v>inventory_model.sale_price</x:v>
      </x:c>
      <x:c r="B26" s="57" t="str">
        <x:v>12</x:v>
      </x:c>
      <x:c r="C26" s="78"/>
    </x:row>
    <x:row r="27">
      <x:c r="A27" s="57" t="str">
        <x:v>inventory_model.purchase_cost</x:v>
      </x:c>
      <x:c r="B27" s="57" t="str">
        <x:v>7</x:v>
      </x:c>
      <x:c r="C27" s="78"/>
    </x:row>
    <x:row r="28">
      <x:c r="A28" s="57" t="str">
        <x:v>inventory_model.salvage_value</x:v>
      </x:c>
      <x:c r="B28" s="57" t="str">
        <x:v>2</x:v>
      </x:c>
      <x:c r="C28" s="78"/>
    </x:row>
    <x:row r="29">
      <x:c r="A29" s="57" t="str">
        <x:v>inventory_model.shortage_penalty</x:v>
      </x:c>
      <x:c r="B29" s="57" t="str">
        <x:v>4</x:v>
      </x:c>
      <x:c r="C29" s="78"/>
    </x:row>
    <x:row r="30">
      <x:c r="A30" s="57" t="str">
        <x:v>inventory_model.optimized_order</x:v>
      </x:c>
      <x:c r="B30" s="57" t="str">
        <x:v>21</x:v>
      </x:c>
      <x:c r="C30" s="78"/>
    </x:row>
    <x:row r="31">
      <x:c r="A31" s="57" t="str">
        <x:v>inventory_model.naive_order</x:v>
      </x:c>
      <x:c r="B31" s="57" t="str">
        <x:v>20</x:v>
      </x:c>
      <x:c r="C31" s="78"/>
    </x:row>
    <x:row r="32">
      <x:c r="A32" s="57" t="str">
        <x:v>queue_model.queue_lengths</x:v>
      </x:c>
      <x:c r="B32" s="57" t="str">
        <x:v>Independent Poisson(mean=3) jobs at two servers</x:v>
      </x:c>
      <x:c r="C32" s="78"/>
    </x:row>
    <x:row r="33">
      <x:c r="A33" s="57" t="str">
        <x:v>queue_model.server_1_completion_probability_per_slot</x:v>
      </x:c>
      <x:c r="B33" s="57" t="str">
        <x:v>0.55</x:v>
      </x:c>
      <x:c r="C33" s="78"/>
    </x:row>
    <x:row r="34">
      <x:c r="A34" s="57" t="str">
        <x:v>queue_model.server_2_completion_probability_per_slot</x:v>
      </x:c>
      <x:c r="B34" s="57" t="str">
        <x:v>0.4</x:v>
      </x:c>
      <x:c r="C34" s="78"/>
    </x:row>
    <x:row r="35">
      <x:c r="A35" s="57" t="str">
        <x:v>queue_model.strong_rule</x:v>
      </x:c>
      <x:c r="B35" s="57" t="str">
        <x:v>Join the shorter queue; ties use the faster server</x:v>
      </x:c>
      <x:c r="C35" s="78"/>
    </x:row>
    <x:row r="36">
      <x:c r="A36" s="57" t="str">
        <x:v>queue_model.weak_rule</x:v>
      </x:c>
      <x:c r="B36" s="57" t="str">
        <x:v>Random server assignment</x:v>
      </x:c>
      <x:c r="C36" s="78"/>
    </x:row>
    <x:row r="37">
      <x:c r="A37" s="57" t="str">
        <x:v>queue_model.reference_scenarios</x:v>
      </x:c>
      <x:c r="B37" s="57" t="str">
        <x:v>1000000</x:v>
      </x:c>
      <x:c r="C37" s="78"/>
    </x:row>
    <x:row r="38">
      <x:c r="A38" s="57" t="str">
        <x:v>queue_model.discrete_joint_categories</x:v>
      </x:c>
      <x:c r="B38" s="57" t="str">
        <x:v>1107</x:v>
      </x:c>
      <x:c r="C38" s="78"/>
    </x:row>
    <x:row r="39">
      <x:c r="A39" s="57" t="str">
        <x:v>diagnostics.long_run_mean_difference_pct</x:v>
      </x:c>
      <x:c r="B39" s="57" t="str">
        <x:v>5.582893243243243</x:v>
      </x:c>
      <x:c r="C39" s="78"/>
    </x:row>
    <x:row r="40">
      <x:c r="A40" s="57" t="str">
        <x:v>diagnostics.paired_effective_per_round_sd_pct</x:v>
      </x:c>
      <x:c r="B40" s="57" t="str">
        <x:v>135.90874819239386</x:v>
      </x:c>
      <x:c r="C40" s="78"/>
    </x:row>
    <x:row r="41">
      <x:c r="A41" s="57" t="str">
        <x:v>diagnostics.unpaired_effective_per_round_sd_pct</x:v>
      </x:c>
      <x:c r="B41" s="57" t="str">
        <x:v>151.27584428984875</x:v>
      </x:c>
      <x:c r="C41" s="78"/>
    </x:row>
    <x:row r="42">
      <x:c r="A42" s="57" t="str">
        <x:v>diagnostics.paired_asymptotic_standardized_effect</x:v>
      </x:c>
      <x:c r="B42" s="57" t="str">
        <x:v>0.041078247850094535</x:v>
      </x:c>
      <x:c r="C42" s="78"/>
    </x:row>
    <x:row r="43">
      <x:c r="A43" s="57" t="str">
        <x:v>diagnostics.unpaired_asymptotic_standardized_effect</x:v>
      </x:c>
      <x:c r="B43" s="57" t="str">
        <x:v>0.03690538479194513</x:v>
      </x:c>
      <x:c r="C43" s="78"/>
    </x:row>
    <x:row r="44">
      <x:c r="A44" s="57" t="str">
        <x:v>diagnostics.one_round_mean_difference_pct</x:v>
      </x:c>
      <x:c r="B44" s="57" t="str">
        <x:v>5.962</x:v>
      </x:c>
      <x:c r="C44" s="78"/>
    </x:row>
    <x:row r="45">
      <x:c r="A45" s="57" t="str">
        <x:v>diagnostics.one_round_sd_difference_pct</x:v>
      </x:c>
      <x:c r="B45" s="57" t="str">
        <x:v>86.7428948058456</x:v>
      </x:c>
      <x:c r="C45" s="78"/>
    </x:row>
    <x:row r="46">
      <x:c r="A46" s="57" t="str">
        <x:v>diagnostics.one_round_third_absolute_central_moment</x:v>
      </x:c>
      <x:c r="B46" s="57" t="str">
        <x:v>1594587.8494459405</x:v>
      </x:c>
      <x:c r="C46" s="78"/>
    </x:row>
    <x:row r="47">
      <x:c r="A47" s="57" t="str">
        <x:v>diagnostics.berry_esseen_constant</x:v>
      </x:c>
      <x:c r="B47" s="57" t="str">
        <x:v>0.4748</x:v>
      </x:c>
      <x:c r="C47" s="78"/>
    </x:row>
    <x:row r="48">
      <x:c r="A48" s="57" t="str">
        <x:v>diagnostics.hoeffding_theoretical_range</x:v>
      </x:c>
      <x:c r="B48" s="57" t="str">
        <x:v>-9.5, 9</x:v>
      </x:c>
      <x:c r="C48" s="78"/>
    </x:row>
    <x:row r="49">
      <x:c r="A49" s="58" t="str">
        <x:v>source_files</x:v>
      </x:c>
      <x:c r="B49" s="58" t="str">
        <x:v>D:\downloads\Upgrades.pdf, D:\downloads\Black_jack (19).pdf, C:\Users\Hp\Desktop\BlackJack\blackjack_5000_hand_complete_dataset.xlsx, Public Colab notebook linked in Black_jack (19).pdf</x:v>
      </x:c>
      <x:c r="C49" s="78"/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2f97a23ffa0b4dda"/>
  </x:tableParts>
</x:worksheet>
</file>